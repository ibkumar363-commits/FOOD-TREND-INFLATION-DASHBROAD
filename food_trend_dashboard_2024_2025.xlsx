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8_{41E183AD-A73D-448C-A3E1-58FC4670320D}" xr6:coauthVersionLast="47" xr6:coauthVersionMax="47" xr10:uidLastSave="{00000000-0000-0000-0000-000000000000}"/>
  <bookViews>
    <workbookView xWindow="465" yWindow="0" windowWidth="19800" windowHeight="10800" tabRatio="500" activeTab="1" xr2:uid="{00000000-000D-0000-FFFF-FFFF00000000}"/>
  </bookViews>
  <sheets>
    <sheet name="Read Me" sheetId="1" r:id="rId1"/>
    <sheet name="Dashboard" sheetId="2" r:id="rId2"/>
    <sheet name="PIVOT_TABLE" sheetId="10" r:id="rId3"/>
    <sheet name="Standardized Data" sheetId="3" r:id="rId4"/>
    <sheet name="Item Summary" sheetId="4" r:id="rId5"/>
    <sheet name="State Summary" sheetId="5" r:id="rId6"/>
    <sheet name="Top Movers" sheetId="6" r:id="rId7"/>
    <sheet name="Mapping Notes" sheetId="7" r:id="rId8"/>
    <sheet name="Raw Data (Original)" sheetId="8" r:id="rId9"/>
  </sheets>
  <definedNames>
    <definedName name="_xlnm._FilterDatabase" localSheetId="4" hidden="1">'Item Summary'!$A$1:$L$53</definedName>
    <definedName name="_xlnm._FilterDatabase" localSheetId="7" hidden="1">'Mapping Notes'!$A$1:$E$53</definedName>
    <definedName name="_xlnm._FilterDatabase" localSheetId="8" hidden="1">'Raw Data (Original)'!$A$1:$J$255</definedName>
    <definedName name="_xlnm._FilterDatabase" localSheetId="3" hidden="1">'Standardized Data'!$A$1:$P$255</definedName>
    <definedName name="_xlnm._FilterDatabase" localSheetId="5" hidden="1">'State Summary'!$A$1:$E$38</definedName>
    <definedName name="Slicer_Match_Confidence">#N/A</definedName>
    <definedName name="Slicer_Month">#N/A</definedName>
    <definedName name="Slicer_Standardized_Item">#N/A</definedName>
  </definedNames>
  <calcPr calcId="181029" iterateDelta="1E-4"/>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B11" i="6" l="1"/>
  <c r="E38" i="5"/>
  <c r="D38" i="5"/>
  <c r="C38" i="5"/>
  <c r="B38" i="5"/>
  <c r="E37" i="5"/>
  <c r="D37" i="5"/>
  <c r="C37" i="5"/>
  <c r="K3" i="6" s="1"/>
  <c r="B37" i="5"/>
  <c r="E36" i="5"/>
  <c r="D36" i="5"/>
  <c r="C36" i="5"/>
  <c r="K6" i="6" s="1"/>
  <c r="B36" i="5"/>
  <c r="E35" i="5"/>
  <c r="D35" i="5"/>
  <c r="C35" i="5"/>
  <c r="B35" i="5"/>
  <c r="E34" i="5"/>
  <c r="D34" i="5"/>
  <c r="C34" i="5"/>
  <c r="B34" i="5"/>
  <c r="E33" i="5"/>
  <c r="D33" i="5"/>
  <c r="C33" i="5"/>
  <c r="B33" i="5"/>
  <c r="H6" i="6" s="1"/>
  <c r="E32" i="5"/>
  <c r="D32" i="5"/>
  <c r="C32" i="5"/>
  <c r="K5" i="6" s="1"/>
  <c r="B32" i="5"/>
  <c r="E31" i="5"/>
  <c r="D31" i="5"/>
  <c r="C31" i="5"/>
  <c r="B31" i="5"/>
  <c r="E30" i="5"/>
  <c r="D30" i="5"/>
  <c r="C30" i="5"/>
  <c r="B30" i="5"/>
  <c r="E29" i="5"/>
  <c r="D29" i="5"/>
  <c r="C29" i="5"/>
  <c r="B29" i="5"/>
  <c r="H8" i="6" s="1"/>
  <c r="E28" i="5"/>
  <c r="D28" i="5"/>
  <c r="C28" i="5"/>
  <c r="K9" i="6" s="1"/>
  <c r="B28" i="5"/>
  <c r="E27" i="5"/>
  <c r="D27" i="5"/>
  <c r="C27" i="5"/>
  <c r="B27" i="5"/>
  <c r="E26" i="5"/>
  <c r="D26" i="5"/>
  <c r="C26" i="5"/>
  <c r="B26" i="5"/>
  <c r="E25" i="5"/>
  <c r="D25" i="5"/>
  <c r="C25" i="5"/>
  <c r="B25" i="5"/>
  <c r="H10" i="6" s="1"/>
  <c r="E24" i="5"/>
  <c r="D24" i="5"/>
  <c r="C24" i="5"/>
  <c r="K10" i="6" s="1"/>
  <c r="B24" i="5"/>
  <c r="H11" i="6" s="1"/>
  <c r="E23" i="5"/>
  <c r="D23" i="5"/>
  <c r="C23" i="5"/>
  <c r="K11" i="6" s="1"/>
  <c r="B23" i="5"/>
  <c r="E22" i="5"/>
  <c r="D22" i="5"/>
  <c r="C22" i="5"/>
  <c r="B22" i="5"/>
  <c r="E21" i="5"/>
  <c r="D21" i="5"/>
  <c r="C21" i="5"/>
  <c r="B21" i="5"/>
  <c r="E20" i="5"/>
  <c r="D20" i="5"/>
  <c r="C20" i="5"/>
  <c r="B20" i="5"/>
  <c r="E19" i="5"/>
  <c r="D19" i="5"/>
  <c r="C19" i="5"/>
  <c r="B19" i="5"/>
  <c r="E18" i="5"/>
  <c r="D18" i="5"/>
  <c r="C18" i="5"/>
  <c r="B18" i="5"/>
  <c r="H4" i="6" s="1"/>
  <c r="E17" i="5"/>
  <c r="D17" i="5"/>
  <c r="C17" i="5"/>
  <c r="B17" i="5"/>
  <c r="H7" i="6" s="1"/>
  <c r="E16" i="5"/>
  <c r="D16" i="5"/>
  <c r="C16" i="5"/>
  <c r="B16" i="5"/>
  <c r="H3" i="6" s="1"/>
  <c r="E15" i="5"/>
  <c r="D15" i="5"/>
  <c r="C15" i="5"/>
  <c r="B15" i="5"/>
  <c r="H12" i="6" s="1"/>
  <c r="E14" i="5"/>
  <c r="D14" i="5"/>
  <c r="C14" i="5"/>
  <c r="B14" i="5"/>
  <c r="E13" i="5"/>
  <c r="D13" i="5"/>
  <c r="C13" i="5"/>
  <c r="B13" i="5"/>
  <c r="H5" i="6" s="1"/>
  <c r="E12" i="5"/>
  <c r="D12" i="5"/>
  <c r="C12" i="5"/>
  <c r="B12" i="5"/>
  <c r="E11" i="5"/>
  <c r="D11" i="5"/>
  <c r="C11" i="5"/>
  <c r="B11" i="5"/>
  <c r="E10" i="5"/>
  <c r="D10" i="5"/>
  <c r="C10" i="5"/>
  <c r="K8" i="6" s="1"/>
  <c r="B10" i="5"/>
  <c r="E9" i="5"/>
  <c r="D9" i="5"/>
  <c r="C9" i="5"/>
  <c r="K7" i="6" s="1"/>
  <c r="B9" i="5"/>
  <c r="E8" i="5"/>
  <c r="D8" i="5"/>
  <c r="C8" i="5"/>
  <c r="B8" i="5"/>
  <c r="E7" i="5"/>
  <c r="D7" i="5"/>
  <c r="C7" i="5"/>
  <c r="B7" i="5"/>
  <c r="E6" i="5"/>
  <c r="D6" i="5"/>
  <c r="C6" i="5"/>
  <c r="B6" i="5"/>
  <c r="E5" i="5"/>
  <c r="D5" i="5"/>
  <c r="C5" i="5"/>
  <c r="B5" i="5"/>
  <c r="H9" i="6" s="1"/>
  <c r="E4" i="5"/>
  <c r="D4" i="5"/>
  <c r="C4" i="5"/>
  <c r="K4" i="6" s="1"/>
  <c r="B4" i="5"/>
  <c r="E3" i="5"/>
  <c r="D3" i="5"/>
  <c r="C3" i="5"/>
  <c r="K12" i="6" s="1"/>
  <c r="B3" i="5"/>
  <c r="E2" i="5"/>
  <c r="D2" i="5"/>
  <c r="C2" i="5"/>
  <c r="B2" i="5"/>
  <c r="K53" i="4"/>
  <c r="J53" i="4"/>
  <c r="I53" i="4"/>
  <c r="L53" i="4" s="1"/>
  <c r="H53" i="4"/>
  <c r="G53" i="4"/>
  <c r="F53" i="4"/>
  <c r="E53" i="4"/>
  <c r="D53" i="4"/>
  <c r="C53" i="4"/>
  <c r="B53" i="4"/>
  <c r="K52" i="4"/>
  <c r="J52" i="4"/>
  <c r="I52" i="4"/>
  <c r="L52" i="4" s="1"/>
  <c r="H52" i="4"/>
  <c r="G52" i="4"/>
  <c r="F52" i="4"/>
  <c r="E52" i="4"/>
  <c r="D52" i="4"/>
  <c r="C52" i="4"/>
  <c r="B52" i="4"/>
  <c r="K51" i="4"/>
  <c r="J51" i="4"/>
  <c r="I51" i="4"/>
  <c r="L51" i="4" s="1"/>
  <c r="H51" i="4"/>
  <c r="G51" i="4"/>
  <c r="F51" i="4"/>
  <c r="E51" i="4"/>
  <c r="D51" i="4"/>
  <c r="C51" i="4"/>
  <c r="B51" i="4"/>
  <c r="K50" i="4"/>
  <c r="J50" i="4"/>
  <c r="I50" i="4"/>
  <c r="L50" i="4" s="1"/>
  <c r="H50" i="4"/>
  <c r="G50" i="4"/>
  <c r="F50" i="4"/>
  <c r="E50" i="4"/>
  <c r="D50" i="4"/>
  <c r="C50" i="4"/>
  <c r="B50" i="4"/>
  <c r="L49" i="4"/>
  <c r="K49" i="4"/>
  <c r="J49" i="4"/>
  <c r="I49" i="4"/>
  <c r="H49" i="4"/>
  <c r="G49" i="4"/>
  <c r="F49" i="4"/>
  <c r="E49" i="4"/>
  <c r="D49" i="4"/>
  <c r="C49" i="4"/>
  <c r="B49" i="4"/>
  <c r="K48" i="4"/>
  <c r="J48" i="4"/>
  <c r="E9" i="6" s="1"/>
  <c r="I48" i="4"/>
  <c r="L48" i="4" s="1"/>
  <c r="H48" i="4"/>
  <c r="G48" i="4"/>
  <c r="F48" i="4"/>
  <c r="E48" i="4"/>
  <c r="D48" i="4"/>
  <c r="C48" i="4"/>
  <c r="B48" i="4"/>
  <c r="K47" i="4"/>
  <c r="J47" i="4"/>
  <c r="I47" i="4"/>
  <c r="L47" i="4" s="1"/>
  <c r="H47" i="4"/>
  <c r="G47" i="4"/>
  <c r="F47" i="4"/>
  <c r="E47" i="4"/>
  <c r="D47" i="4"/>
  <c r="C47" i="4"/>
  <c r="B47" i="4"/>
  <c r="K46" i="4"/>
  <c r="J46" i="4"/>
  <c r="I46" i="4"/>
  <c r="L46" i="4" s="1"/>
  <c r="H46" i="4"/>
  <c r="G46" i="4"/>
  <c r="F46" i="4"/>
  <c r="E46" i="4"/>
  <c r="D46" i="4"/>
  <c r="C46" i="4"/>
  <c r="B46" i="4"/>
  <c r="L45" i="4"/>
  <c r="K45" i="4"/>
  <c r="B12" i="6" s="1"/>
  <c r="J45" i="4"/>
  <c r="E5" i="6" s="1"/>
  <c r="I45" i="4"/>
  <c r="H45" i="4"/>
  <c r="G45" i="4"/>
  <c r="F45" i="4"/>
  <c r="E45" i="4"/>
  <c r="D45" i="4"/>
  <c r="C45" i="4"/>
  <c r="B45" i="4"/>
  <c r="K44" i="4"/>
  <c r="J44" i="4"/>
  <c r="I44" i="4"/>
  <c r="L44" i="4" s="1"/>
  <c r="H44" i="4"/>
  <c r="G44" i="4"/>
  <c r="F44" i="4"/>
  <c r="E44" i="4"/>
  <c r="D44" i="4"/>
  <c r="C44" i="4"/>
  <c r="B44" i="4"/>
  <c r="K43" i="4"/>
  <c r="J43" i="4"/>
  <c r="I43" i="4"/>
  <c r="L43" i="4" s="1"/>
  <c r="H43" i="4"/>
  <c r="G43" i="4"/>
  <c r="F43" i="4"/>
  <c r="E43" i="4"/>
  <c r="D43" i="4"/>
  <c r="C43" i="4"/>
  <c r="B43" i="4"/>
  <c r="K42" i="4"/>
  <c r="J42" i="4"/>
  <c r="I42" i="4"/>
  <c r="L42" i="4" s="1"/>
  <c r="H42" i="4"/>
  <c r="G42" i="4"/>
  <c r="F42" i="4"/>
  <c r="E42" i="4"/>
  <c r="D42" i="4"/>
  <c r="C42" i="4"/>
  <c r="B42" i="4"/>
  <c r="K41" i="4"/>
  <c r="B10" i="6" s="1"/>
  <c r="J41" i="4"/>
  <c r="I41" i="4"/>
  <c r="H41" i="4"/>
  <c r="L41" i="4" s="1"/>
  <c r="G41" i="4"/>
  <c r="F41" i="4"/>
  <c r="E41" i="4"/>
  <c r="D41" i="4"/>
  <c r="C41" i="4"/>
  <c r="B41" i="4"/>
  <c r="K40" i="4"/>
  <c r="B8" i="6" s="1"/>
  <c r="J40" i="4"/>
  <c r="I40" i="4"/>
  <c r="H40" i="4"/>
  <c r="L40" i="4" s="1"/>
  <c r="G40" i="4"/>
  <c r="F40" i="4"/>
  <c r="E40" i="4"/>
  <c r="D40" i="4"/>
  <c r="C40" i="4"/>
  <c r="B40" i="4"/>
  <c r="K39" i="4"/>
  <c r="J39" i="4"/>
  <c r="I39" i="4"/>
  <c r="L39" i="4" s="1"/>
  <c r="H39" i="4"/>
  <c r="G39" i="4"/>
  <c r="F39" i="4"/>
  <c r="E39" i="4"/>
  <c r="D39" i="4"/>
  <c r="C39" i="4"/>
  <c r="B39" i="4"/>
  <c r="K38" i="4"/>
  <c r="J38" i="4"/>
  <c r="I38" i="4"/>
  <c r="L38" i="4" s="1"/>
  <c r="H38" i="4"/>
  <c r="G38" i="4"/>
  <c r="F38" i="4"/>
  <c r="E38" i="4"/>
  <c r="D38" i="4"/>
  <c r="C38" i="4"/>
  <c r="B38" i="4"/>
  <c r="L37" i="4"/>
  <c r="K37" i="4"/>
  <c r="B5" i="6" s="1"/>
  <c r="J37" i="4"/>
  <c r="E3" i="6" s="1"/>
  <c r="I37" i="4"/>
  <c r="H37" i="4"/>
  <c r="G37" i="4"/>
  <c r="F37" i="4"/>
  <c r="E37" i="4"/>
  <c r="D37" i="4"/>
  <c r="C37" i="4"/>
  <c r="B37" i="4"/>
  <c r="L36" i="4"/>
  <c r="K36" i="4"/>
  <c r="B9" i="6" s="1"/>
  <c r="J36" i="4"/>
  <c r="E7" i="6" s="1"/>
  <c r="I36" i="4"/>
  <c r="H36" i="4"/>
  <c r="G36" i="4"/>
  <c r="F36" i="4"/>
  <c r="E36" i="4"/>
  <c r="D36" i="4"/>
  <c r="C36" i="4"/>
  <c r="B36" i="4"/>
  <c r="K35" i="4"/>
  <c r="J35" i="4"/>
  <c r="I35" i="4"/>
  <c r="L35" i="4" s="1"/>
  <c r="H35" i="4"/>
  <c r="G35" i="4"/>
  <c r="F35" i="4"/>
  <c r="E35" i="4"/>
  <c r="D35" i="4"/>
  <c r="C35" i="4"/>
  <c r="B35" i="4"/>
  <c r="K34" i="4"/>
  <c r="J34" i="4"/>
  <c r="E4" i="6" s="1"/>
  <c r="I34" i="4"/>
  <c r="L34" i="4" s="1"/>
  <c r="H34" i="4"/>
  <c r="G34" i="4"/>
  <c r="F34" i="4"/>
  <c r="E34" i="4"/>
  <c r="D34" i="4"/>
  <c r="C34" i="4"/>
  <c r="B34" i="4"/>
  <c r="K33" i="4"/>
  <c r="J33" i="4"/>
  <c r="E12" i="6" s="1"/>
  <c r="I33" i="4"/>
  <c r="H33" i="4"/>
  <c r="L33" i="4" s="1"/>
  <c r="G33" i="4"/>
  <c r="F33" i="4"/>
  <c r="E33" i="4"/>
  <c r="D33" i="4"/>
  <c r="C33" i="4"/>
  <c r="B33" i="4"/>
  <c r="K32" i="4"/>
  <c r="J32" i="4"/>
  <c r="I32" i="4"/>
  <c r="H32" i="4"/>
  <c r="L32" i="4" s="1"/>
  <c r="G32" i="4"/>
  <c r="F32" i="4"/>
  <c r="E32" i="4"/>
  <c r="D32" i="4"/>
  <c r="C32" i="4"/>
  <c r="B32" i="4"/>
  <c r="K31" i="4"/>
  <c r="J31" i="4"/>
  <c r="I31" i="4"/>
  <c r="L31" i="4" s="1"/>
  <c r="H31" i="4"/>
  <c r="G31" i="4"/>
  <c r="F31" i="4"/>
  <c r="E31" i="4"/>
  <c r="D31" i="4"/>
  <c r="C31" i="4"/>
  <c r="B31" i="4"/>
  <c r="K30" i="4"/>
  <c r="J30" i="4"/>
  <c r="I30" i="4"/>
  <c r="L30" i="4" s="1"/>
  <c r="H30" i="4"/>
  <c r="G30" i="4"/>
  <c r="F30" i="4"/>
  <c r="E30" i="4"/>
  <c r="D30" i="4"/>
  <c r="C30" i="4"/>
  <c r="B30" i="4"/>
  <c r="L29" i="4"/>
  <c r="K29" i="4"/>
  <c r="J29" i="4"/>
  <c r="E10" i="6" s="1"/>
  <c r="I29" i="4"/>
  <c r="H29" i="4"/>
  <c r="G29" i="4"/>
  <c r="F29" i="4"/>
  <c r="E29" i="4"/>
  <c r="D29" i="4"/>
  <c r="C29" i="4"/>
  <c r="B29" i="4"/>
  <c r="L28" i="4"/>
  <c r="K28" i="4"/>
  <c r="B3" i="6" s="1"/>
  <c r="J28" i="4"/>
  <c r="I28" i="4"/>
  <c r="H28" i="4"/>
  <c r="G28" i="4"/>
  <c r="F28" i="4"/>
  <c r="E28" i="4"/>
  <c r="D28" i="4"/>
  <c r="C28" i="4"/>
  <c r="B28" i="4"/>
  <c r="K27" i="4"/>
  <c r="J27" i="4"/>
  <c r="I27" i="4"/>
  <c r="L27" i="4" s="1"/>
  <c r="H27" i="4"/>
  <c r="G27" i="4"/>
  <c r="F27" i="4"/>
  <c r="E27" i="4"/>
  <c r="D27" i="4"/>
  <c r="C27" i="4"/>
  <c r="B27" i="4"/>
  <c r="K26" i="4"/>
  <c r="J26" i="4"/>
  <c r="I26" i="4"/>
  <c r="L26" i="4" s="1"/>
  <c r="H26" i="4"/>
  <c r="G26" i="4"/>
  <c r="F26" i="4"/>
  <c r="E26" i="4"/>
  <c r="D26" i="4"/>
  <c r="C26" i="4"/>
  <c r="B26" i="4"/>
  <c r="L25" i="4"/>
  <c r="K25" i="4"/>
  <c r="J25" i="4"/>
  <c r="I25" i="4"/>
  <c r="H25" i="4"/>
  <c r="G25" i="4"/>
  <c r="F25" i="4"/>
  <c r="E25" i="4"/>
  <c r="D25" i="4"/>
  <c r="C25" i="4"/>
  <c r="B25" i="4"/>
  <c r="L24" i="4"/>
  <c r="K24" i="4"/>
  <c r="J24" i="4"/>
  <c r="E11" i="6" s="1"/>
  <c r="I24" i="4"/>
  <c r="H24" i="4"/>
  <c r="G24" i="4"/>
  <c r="F24" i="4"/>
  <c r="E24" i="4"/>
  <c r="D24" i="4"/>
  <c r="C24" i="4"/>
  <c r="B24" i="4"/>
  <c r="K23" i="4"/>
  <c r="J23" i="4"/>
  <c r="I23" i="4"/>
  <c r="L23" i="4" s="1"/>
  <c r="H23" i="4"/>
  <c r="G23" i="4"/>
  <c r="F23" i="4"/>
  <c r="E23" i="4"/>
  <c r="D23" i="4"/>
  <c r="C23" i="4"/>
  <c r="B23" i="4"/>
  <c r="K22" i="4"/>
  <c r="J22" i="4"/>
  <c r="E6" i="6" s="1"/>
  <c r="I22" i="4"/>
  <c r="L22" i="4" s="1"/>
  <c r="H22" i="4"/>
  <c r="G22" i="4"/>
  <c r="F22" i="4"/>
  <c r="E22" i="4"/>
  <c r="D22" i="4"/>
  <c r="C22" i="4"/>
  <c r="B22" i="4"/>
  <c r="L21" i="4"/>
  <c r="K21" i="4"/>
  <c r="J21" i="4"/>
  <c r="I21" i="4"/>
  <c r="H21" i="4"/>
  <c r="G21" i="4"/>
  <c r="F21" i="4"/>
  <c r="E21" i="4"/>
  <c r="D21" i="4"/>
  <c r="C21" i="4"/>
  <c r="B21" i="4"/>
  <c r="L20" i="4"/>
  <c r="K20" i="4"/>
  <c r="J20" i="4"/>
  <c r="I20" i="4"/>
  <c r="H20" i="4"/>
  <c r="G20" i="4"/>
  <c r="F20" i="4"/>
  <c r="E20" i="4"/>
  <c r="D20" i="4"/>
  <c r="C20" i="4"/>
  <c r="B20" i="4"/>
  <c r="K19" i="4"/>
  <c r="J19" i="4"/>
  <c r="I19" i="4"/>
  <c r="L19" i="4" s="1"/>
  <c r="H19" i="4"/>
  <c r="G19" i="4"/>
  <c r="F19" i="4"/>
  <c r="E19" i="4"/>
  <c r="D19" i="4"/>
  <c r="C19" i="4"/>
  <c r="B19" i="4"/>
  <c r="K18" i="4"/>
  <c r="J18" i="4"/>
  <c r="I18" i="4"/>
  <c r="L18" i="4" s="1"/>
  <c r="H18" i="4"/>
  <c r="G18" i="4"/>
  <c r="F18" i="4"/>
  <c r="E18" i="4"/>
  <c r="D18" i="4"/>
  <c r="C18" i="4"/>
  <c r="B18" i="4"/>
  <c r="L17" i="4"/>
  <c r="K17" i="4"/>
  <c r="J17" i="4"/>
  <c r="I17" i="4"/>
  <c r="H17" i="4"/>
  <c r="G17" i="4"/>
  <c r="F17" i="4"/>
  <c r="E17" i="4"/>
  <c r="D17" i="4"/>
  <c r="C17" i="4"/>
  <c r="B17" i="4"/>
  <c r="L16" i="4"/>
  <c r="K16" i="4"/>
  <c r="J16" i="4"/>
  <c r="I16" i="4"/>
  <c r="H16" i="4"/>
  <c r="G16" i="4"/>
  <c r="F16" i="4"/>
  <c r="E16" i="4"/>
  <c r="D16" i="4"/>
  <c r="C16" i="4"/>
  <c r="B16" i="4"/>
  <c r="K15" i="4"/>
  <c r="J15" i="4"/>
  <c r="I15" i="4"/>
  <c r="L15" i="4" s="1"/>
  <c r="H15" i="4"/>
  <c r="G15" i="4"/>
  <c r="F15" i="4"/>
  <c r="E15" i="4"/>
  <c r="D15" i="4"/>
  <c r="C15" i="4"/>
  <c r="B15" i="4"/>
  <c r="K14" i="4"/>
  <c r="J14" i="4"/>
  <c r="I14" i="4"/>
  <c r="L14" i="4" s="1"/>
  <c r="H14" i="4"/>
  <c r="G14" i="4"/>
  <c r="F14" i="4"/>
  <c r="E14" i="4"/>
  <c r="D14" i="4"/>
  <c r="C14" i="4"/>
  <c r="B14" i="4"/>
  <c r="K13" i="4"/>
  <c r="J13" i="4"/>
  <c r="I13" i="4"/>
  <c r="H13" i="4"/>
  <c r="L13" i="4" s="1"/>
  <c r="G13" i="4"/>
  <c r="F13" i="4"/>
  <c r="E13" i="4"/>
  <c r="D13" i="4"/>
  <c r="C13" i="4"/>
  <c r="B13" i="4"/>
  <c r="K12" i="4"/>
  <c r="J12" i="4"/>
  <c r="I12" i="4"/>
  <c r="H12" i="4"/>
  <c r="L12" i="4" s="1"/>
  <c r="G12" i="4"/>
  <c r="F12" i="4"/>
  <c r="E12" i="4"/>
  <c r="D12" i="4"/>
  <c r="C12" i="4"/>
  <c r="B12" i="4"/>
  <c r="K11" i="4"/>
  <c r="J11" i="4"/>
  <c r="E8" i="6" s="1"/>
  <c r="I11" i="4"/>
  <c r="L11" i="4" s="1"/>
  <c r="H11" i="4"/>
  <c r="G11" i="4"/>
  <c r="F11" i="4"/>
  <c r="E11" i="4"/>
  <c r="D11" i="4"/>
  <c r="C11" i="4"/>
  <c r="B11" i="4"/>
  <c r="K10" i="4"/>
  <c r="J10" i="4"/>
  <c r="I10" i="4"/>
  <c r="L10" i="4" s="1"/>
  <c r="H10" i="4"/>
  <c r="G10" i="4"/>
  <c r="F10" i="4"/>
  <c r="E10" i="4"/>
  <c r="D10" i="4"/>
  <c r="C10" i="4"/>
  <c r="B10" i="4"/>
  <c r="L9" i="4"/>
  <c r="K9" i="4"/>
  <c r="J9" i="4"/>
  <c r="I9" i="4"/>
  <c r="H9" i="4"/>
  <c r="G9" i="4"/>
  <c r="F9" i="4"/>
  <c r="E9" i="4"/>
  <c r="D9" i="4"/>
  <c r="C9" i="4"/>
  <c r="B9" i="4"/>
  <c r="L8" i="4"/>
  <c r="K8" i="4"/>
  <c r="J8" i="4"/>
  <c r="I8" i="4"/>
  <c r="H8" i="4"/>
  <c r="G8" i="4"/>
  <c r="F8" i="4"/>
  <c r="E8" i="4"/>
  <c r="D8" i="4"/>
  <c r="C8" i="4"/>
  <c r="B8" i="4"/>
  <c r="K7" i="4"/>
  <c r="J7" i="4"/>
  <c r="I7" i="4"/>
  <c r="L7" i="4" s="1"/>
  <c r="H7" i="4"/>
  <c r="G7" i="4"/>
  <c r="F7" i="4"/>
  <c r="E7" i="4"/>
  <c r="D7" i="4"/>
  <c r="C7" i="4"/>
  <c r="B7" i="4"/>
  <c r="K6" i="4"/>
  <c r="J6" i="4"/>
  <c r="I6" i="4"/>
  <c r="L6" i="4" s="1"/>
  <c r="H6" i="4"/>
  <c r="G6" i="4"/>
  <c r="F6" i="4"/>
  <c r="E6" i="4"/>
  <c r="D6" i="4"/>
  <c r="C6" i="4"/>
  <c r="B6" i="4"/>
  <c r="L5" i="4"/>
  <c r="K5" i="4"/>
  <c r="B7" i="6" s="1"/>
  <c r="J5" i="4"/>
  <c r="I5" i="4"/>
  <c r="H5" i="4"/>
  <c r="G5" i="4"/>
  <c r="F5" i="4"/>
  <c r="E5" i="4"/>
  <c r="D5" i="4"/>
  <c r="C5" i="4"/>
  <c r="B5" i="4"/>
  <c r="L4" i="4"/>
  <c r="K4" i="4"/>
  <c r="B4" i="6" s="1"/>
  <c r="J4" i="4"/>
  <c r="I4" i="4"/>
  <c r="H4" i="4"/>
  <c r="G4" i="4"/>
  <c r="F4" i="4"/>
  <c r="E4" i="4"/>
  <c r="D4" i="4"/>
  <c r="C4" i="4"/>
  <c r="B4" i="4"/>
  <c r="K3" i="4"/>
  <c r="B6" i="6" s="1"/>
  <c r="J3" i="4"/>
  <c r="I3" i="4"/>
  <c r="L3" i="4" s="1"/>
  <c r="H3" i="4"/>
  <c r="G3" i="4"/>
  <c r="F3" i="4"/>
  <c r="E3" i="4"/>
  <c r="D3" i="4"/>
  <c r="C3" i="4"/>
  <c r="B3" i="4"/>
  <c r="K2" i="4"/>
  <c r="J2" i="4"/>
  <c r="I2" i="4"/>
  <c r="L2" i="4" s="1"/>
  <c r="H2" i="4"/>
  <c r="G2" i="4"/>
  <c r="F2" i="4"/>
  <c r="E2" i="4"/>
  <c r="D2" i="4"/>
  <c r="C2" i="4"/>
  <c r="B2" i="4"/>
</calcChain>
</file>

<file path=xl/sharedStrings.xml><?xml version="1.0" encoding="utf-8"?>
<sst xmlns="http://schemas.openxmlformats.org/spreadsheetml/2006/main" count="4275" uniqueCount="744">
  <si>
    <t>Pick an item below to update the price trend and inflation charts. Scroll down for national inflation and state comparisons.</t>
  </si>
  <si>
    <t>Agric hen eggs</t>
  </si>
  <si>
    <t>Month</t>
  </si>
  <si>
    <t>Nov-2024</t>
  </si>
  <si>
    <t>Dec-2024</t>
  </si>
  <si>
    <t>Jan-2025</t>
  </si>
  <si>
    <t>Feb-2025</t>
  </si>
  <si>
    <t>Mar-2025</t>
  </si>
  <si>
    <t>Apr-2025</t>
  </si>
  <si>
    <t>Standardized Item</t>
  </si>
  <si>
    <t>Item Label</t>
  </si>
  <si>
    <t>Match Confidence</t>
  </si>
  <si>
    <t>Avg (Same Month Last Year)</t>
  </si>
  <si>
    <t>Avg (Previous Month)</t>
  </si>
  <si>
    <t>Avg (Current Month)</t>
  </si>
  <si>
    <t>MoM</t>
  </si>
  <si>
    <t>YoY</t>
  </si>
  <si>
    <t>Highest</t>
  </si>
  <si>
    <t>Highest State</t>
  </si>
  <si>
    <t>Highest Price</t>
  </si>
  <si>
    <t>Lowest</t>
  </si>
  <si>
    <t>Lowest State</t>
  </si>
  <si>
    <t>Lowest Price</t>
  </si>
  <si>
    <t>Source File</t>
  </si>
  <si>
    <t>Agric eggs(medium size price of one)</t>
  </si>
  <si>
    <t>Confirmed</t>
  </si>
  <si>
    <t>Gombe (300)</t>
  </si>
  <si>
    <t>Gombe</t>
  </si>
  <si>
    <t>Borno (199.73)</t>
  </si>
  <si>
    <t>Borno</t>
  </si>
  <si>
    <t>selected_food_Nov_2024.xlsx</t>
  </si>
  <si>
    <t>Bauchi (300.73)</t>
  </si>
  <si>
    <t>Bauchi</t>
  </si>
  <si>
    <t>Taraba (212)</t>
  </si>
  <si>
    <t>Taraba</t>
  </si>
  <si>
    <t>selected_food_Dec_2024.xlsx</t>
  </si>
  <si>
    <t>Enugu (325)</t>
  </si>
  <si>
    <t>Enugu</t>
  </si>
  <si>
    <t>Adamawa (200)</t>
  </si>
  <si>
    <t>Adamawa</t>
  </si>
  <si>
    <t>Selected_food_table_Jan25.xlsx</t>
  </si>
  <si>
    <t xml:space="preserve">Agric hen eggs, </t>
  </si>
  <si>
    <t>selected_food_table_Feb_25.xlsx</t>
  </si>
  <si>
    <t>Enugu (354.75)</t>
  </si>
  <si>
    <t>Kaduna (210)</t>
  </si>
  <si>
    <t>Kaduna</t>
  </si>
  <si>
    <t>selected_food_table_Mar_25.xlsx</t>
  </si>
  <si>
    <t>Enugu (356.73)</t>
  </si>
  <si>
    <t>Kaduna (220)</t>
  </si>
  <si>
    <t>selected_food_table_Apr25.xlsx</t>
  </si>
  <si>
    <t>Agric hen eggs, (a Crate of 30 pieces)</t>
  </si>
  <si>
    <t>Agric eggs medium size</t>
  </si>
  <si>
    <t>Likely</t>
  </si>
  <si>
    <t>Gombe (3600)</t>
  </si>
  <si>
    <t>Borno (2381.15)</t>
  </si>
  <si>
    <t>Gombe (3600.65)</t>
  </si>
  <si>
    <t>Borno (2431.2)</t>
  </si>
  <si>
    <t>Enugu (7000)</t>
  </si>
  <si>
    <t>Niger (4613.06)</t>
  </si>
  <si>
    <t>Niger</t>
  </si>
  <si>
    <t>Enugu (7250)</t>
  </si>
  <si>
    <t>Kogi (5000)</t>
  </si>
  <si>
    <t>Kogi</t>
  </si>
  <si>
    <t>Enugu (7930)</t>
  </si>
  <si>
    <t>Niger (5300)</t>
  </si>
  <si>
    <t>Enugu (7869.33)</t>
  </si>
  <si>
    <t>Jigawa (540)</t>
  </si>
  <si>
    <t>Jigawa</t>
  </si>
  <si>
    <t>Beans Brown</t>
  </si>
  <si>
    <t>Beans brown,sold loose</t>
  </si>
  <si>
    <t>Bauchi (3675)</t>
  </si>
  <si>
    <t>Adamawa (1925)</t>
  </si>
  <si>
    <t>Bauchi (3500.32)</t>
  </si>
  <si>
    <t>Yobe (1755.63)</t>
  </si>
  <si>
    <t>Yobe</t>
  </si>
  <si>
    <t>Abia (3230.87)</t>
  </si>
  <si>
    <t>Abia</t>
  </si>
  <si>
    <t>Sokoto (1575.36)</t>
  </si>
  <si>
    <t>Sokoto</t>
  </si>
  <si>
    <t>Ebonyi (3200)</t>
  </si>
  <si>
    <t>Ebonyi</t>
  </si>
  <si>
    <t>Sokoto (1572.83)</t>
  </si>
  <si>
    <t>Abia (3651.13)</t>
  </si>
  <si>
    <t>Sokoto (1634.36)</t>
  </si>
  <si>
    <t>Abia (3600)</t>
  </si>
  <si>
    <t>Sokoto (1658.02)</t>
  </si>
  <si>
    <t>Beans white</t>
  </si>
  <si>
    <t>Beans:white black eye. sold loose</t>
  </si>
  <si>
    <t>Ebonyi (3157.2)</t>
  </si>
  <si>
    <t>Adamawa (1750)</t>
  </si>
  <si>
    <t>Abuja (3176.63)</t>
  </si>
  <si>
    <t>Abuja</t>
  </si>
  <si>
    <t>Yobe (1534.59)</t>
  </si>
  <si>
    <t>Enugu (2722.76)</t>
  </si>
  <si>
    <t>Sokoto (1370.59)</t>
  </si>
  <si>
    <t>Abia (2825.33)</t>
  </si>
  <si>
    <t>Yobe (1371.48)</t>
  </si>
  <si>
    <t>Enugu (3122.19)</t>
  </si>
  <si>
    <t>Abuja (1521.57)</t>
  </si>
  <si>
    <t>Enugu (3100)</t>
  </si>
  <si>
    <t>Kaduna (1503.96)</t>
  </si>
  <si>
    <t>Beef Bone in</t>
  </si>
  <si>
    <t>Discontinued</t>
  </si>
  <si>
    <t>Niger (6244.03)</t>
  </si>
  <si>
    <t>Anambra (3650.97)</t>
  </si>
  <si>
    <t>Anambra</t>
  </si>
  <si>
    <t>Akwa Ibom (6466.67)</t>
  </si>
  <si>
    <t>Akwa Ibom</t>
  </si>
  <si>
    <t>Abia (3792.87)</t>
  </si>
  <si>
    <t>Beef Boneless</t>
  </si>
  <si>
    <t>Beef,boneless</t>
  </si>
  <si>
    <t>Enugu (7020.85)</t>
  </si>
  <si>
    <t>Yobe (4800)</t>
  </si>
  <si>
    <t>Enugu (7316.2)</t>
  </si>
  <si>
    <t>Borno (5041.6)</t>
  </si>
  <si>
    <t>Imo (8239.82)</t>
  </si>
  <si>
    <t>Imo</t>
  </si>
  <si>
    <t>Benue (4200)</t>
  </si>
  <si>
    <t>Benue</t>
  </si>
  <si>
    <t>Imo (8392.86)</t>
  </si>
  <si>
    <t>Benue (4250)</t>
  </si>
  <si>
    <t>Imo (8569.93)</t>
  </si>
  <si>
    <t>Yobe (5250)</t>
  </si>
  <si>
    <t>Abia (8673.77)</t>
  </si>
  <si>
    <t>Yobe (5300)</t>
  </si>
  <si>
    <t>Bread (sliced), 450g</t>
  </si>
  <si>
    <t>Bread sliced 500g</t>
  </si>
  <si>
    <t>Rivers (1881.67)</t>
  </si>
  <si>
    <t>Rivers</t>
  </si>
  <si>
    <t>Yobe (1120.4)</t>
  </si>
  <si>
    <t>Akwa Ibom (1890)</t>
  </si>
  <si>
    <t>Benue (1299.01)</t>
  </si>
  <si>
    <t>Ogun (1950)</t>
  </si>
  <si>
    <t>Ogun</t>
  </si>
  <si>
    <t>Osun (1300)</t>
  </si>
  <si>
    <t>Osun</t>
  </si>
  <si>
    <t>Osun (1256.25)</t>
  </si>
  <si>
    <t>Ogun (2187.92)</t>
  </si>
  <si>
    <t>Bread (unsliced), 450g</t>
  </si>
  <si>
    <t>Bread unsliced 500g</t>
  </si>
  <si>
    <t>Delta (1805.42)</t>
  </si>
  <si>
    <t>Delta</t>
  </si>
  <si>
    <t>Borno (1053.56)</t>
  </si>
  <si>
    <t>Delta (1823.75)</t>
  </si>
  <si>
    <t>Yobe (1112.87)</t>
  </si>
  <si>
    <t>Akwa Ibom (1800)</t>
  </si>
  <si>
    <t>Yobe (900)</t>
  </si>
  <si>
    <t>Akwa Ibom (1900)</t>
  </si>
  <si>
    <t>Ebonyi (1908.56)</t>
  </si>
  <si>
    <t>Yobe (960)</t>
  </si>
  <si>
    <t>Ebonyi (1922.3)</t>
  </si>
  <si>
    <t>Ekiti (1000)</t>
  </si>
  <si>
    <t>Ekiti</t>
  </si>
  <si>
    <t>Carrots, fresh</t>
  </si>
  <si>
    <t>New (2025)</t>
  </si>
  <si>
    <t>Bayelsa (2572.73)</t>
  </si>
  <si>
    <t>Bayelsa</t>
  </si>
  <si>
    <t>Benue (1400)</t>
  </si>
  <si>
    <t>Imo (2557.14)</t>
  </si>
  <si>
    <t>Zamfara (1410)</t>
  </si>
  <si>
    <t>Zamfara</t>
  </si>
  <si>
    <t>Imo (2980.7)</t>
  </si>
  <si>
    <t>Zamfara (1450)</t>
  </si>
  <si>
    <t>Imo (3000)</t>
  </si>
  <si>
    <t>Borno (1200)</t>
  </si>
  <si>
    <t>Cat fresh fish</t>
  </si>
  <si>
    <t>Catfish (obokun) fresh</t>
  </si>
  <si>
    <t>Bayelsa (5885.71)</t>
  </si>
  <si>
    <t>Adamawa (3000)</t>
  </si>
  <si>
    <t>Bayelsa (5815.86)</t>
  </si>
  <si>
    <t>Nasarawa (3110.1)</t>
  </si>
  <si>
    <t>Nasarawa</t>
  </si>
  <si>
    <t>Plateau (7608.1)</t>
  </si>
  <si>
    <t>Plateau</t>
  </si>
  <si>
    <t>Kaduna (3442.5)</t>
  </si>
  <si>
    <t>Kaduna (3500)</t>
  </si>
  <si>
    <t>Plateau (8213.1)</t>
  </si>
  <si>
    <t>Zamfara (3590)</t>
  </si>
  <si>
    <t>Zamfara (3615.22)</t>
  </si>
  <si>
    <t>Catfish :dried</t>
  </si>
  <si>
    <t>Imo (12181.27)</t>
  </si>
  <si>
    <t>Kano (3950.44)</t>
  </si>
  <si>
    <t>Kano</t>
  </si>
  <si>
    <t>Imo (12478.59)</t>
  </si>
  <si>
    <t>Katsina (4100.14)</t>
  </si>
  <si>
    <t>Katsina</t>
  </si>
  <si>
    <t>Catfish Smoked</t>
  </si>
  <si>
    <t>Yobe (6255.22)</t>
  </si>
  <si>
    <t>Kebbi (3391.67)</t>
  </si>
  <si>
    <t>Kebbi</t>
  </si>
  <si>
    <t>Yobe (7142.86)</t>
  </si>
  <si>
    <t>Kebbi (3310.57)</t>
  </si>
  <si>
    <t>Chicken Wings</t>
  </si>
  <si>
    <t>Ondo (6100)</t>
  </si>
  <si>
    <t>Ondo</t>
  </si>
  <si>
    <t>Adamawa (2200)</t>
  </si>
  <si>
    <t>Ondo (6120)</t>
  </si>
  <si>
    <t>Adamawa (2300)</t>
  </si>
  <si>
    <t>Niger (5703.26)</t>
  </si>
  <si>
    <t>Yobe (2709.25)</t>
  </si>
  <si>
    <t>Niger (5598.22)</t>
  </si>
  <si>
    <t>Yobe (3009.25)</t>
  </si>
  <si>
    <t>Ogun (6324.11)</t>
  </si>
  <si>
    <t>Yobe (3184.25)</t>
  </si>
  <si>
    <t>Yobe (3175)</t>
  </si>
  <si>
    <t>Chicken feet</t>
  </si>
  <si>
    <t>Chicken Feet</t>
  </si>
  <si>
    <t>Niger (5713.05)</t>
  </si>
  <si>
    <t>Taraba (1200)</t>
  </si>
  <si>
    <t>Niger (5715.05)</t>
  </si>
  <si>
    <t>Taraba (1250)</t>
  </si>
  <si>
    <t>Ondo (4750)</t>
  </si>
  <si>
    <t>Taraba (2000)</t>
  </si>
  <si>
    <t>Taraba (2100)</t>
  </si>
  <si>
    <t>Kano (2281.25)</t>
  </si>
  <si>
    <t>Gombe (2300)</t>
  </si>
  <si>
    <t>Chicken meat (Frozen)</t>
  </si>
  <si>
    <t>Frozen chicken</t>
  </si>
  <si>
    <t>Gombe (8900)</t>
  </si>
  <si>
    <t>Ondo (4850)</t>
  </si>
  <si>
    <t>Yobe (12000)</t>
  </si>
  <si>
    <t>Ondo (4870)</t>
  </si>
  <si>
    <t>Ebonyi (7800)</t>
  </si>
  <si>
    <t>Sokoto (4000)</t>
  </si>
  <si>
    <t>Enugu (8000)</t>
  </si>
  <si>
    <t>Sokoto (4200)</t>
  </si>
  <si>
    <t>Enugu (8200)</t>
  </si>
  <si>
    <t>Sokoto (4500)</t>
  </si>
  <si>
    <t>Enugu (8216.56)</t>
  </si>
  <si>
    <t>Gombe (4600)</t>
  </si>
  <si>
    <t>Cray fish small white</t>
  </si>
  <si>
    <t>Abuja (7800)</t>
  </si>
  <si>
    <t>Bayelsa (4000)</t>
  </si>
  <si>
    <t>Kogi (8000)</t>
  </si>
  <si>
    <t>Bayelsa (4300)</t>
  </si>
  <si>
    <t>Bayelsa (4500)</t>
  </si>
  <si>
    <t>Akwa Ibom (4576.03)</t>
  </si>
  <si>
    <t>Dried Fish Sardine</t>
  </si>
  <si>
    <t>Nasarawa (7474.67)</t>
  </si>
  <si>
    <t>Niger (2900.57)</t>
  </si>
  <si>
    <t>Nasarawa (7669.01)</t>
  </si>
  <si>
    <t>Niger (2903.57)</t>
  </si>
  <si>
    <t>Dried fish, Bonga</t>
  </si>
  <si>
    <t>Enugu (8900)</t>
  </si>
  <si>
    <t>Bayelsa (4202.78)</t>
  </si>
  <si>
    <t>Enugu (9000)</t>
  </si>
  <si>
    <t>Adamawa (4000)</t>
  </si>
  <si>
    <t>Ebonyi (10004.01)</t>
  </si>
  <si>
    <t>Osun (4420)</t>
  </si>
  <si>
    <t>Ebonyi (10000)</t>
  </si>
  <si>
    <t>Osun (4500)</t>
  </si>
  <si>
    <t>Garri Yellow</t>
  </si>
  <si>
    <t>Gari yellow,sold loose</t>
  </si>
  <si>
    <t>Gombe (1575)</t>
  </si>
  <si>
    <t>Kogi (1100.03)</t>
  </si>
  <si>
    <t>Gombe (1720)</t>
  </si>
  <si>
    <t>Kogi (1000.03)</t>
  </si>
  <si>
    <t>Gombe (1692.31)</t>
  </si>
  <si>
    <t>Benue (980.24)</t>
  </si>
  <si>
    <t>Kebbi (1744.39)</t>
  </si>
  <si>
    <t>Ekiti (961.54)</t>
  </si>
  <si>
    <t>Katsina (1903.28)</t>
  </si>
  <si>
    <t>Oyo (1152.77)</t>
  </si>
  <si>
    <t>Oyo</t>
  </si>
  <si>
    <t>Yobe (2060)</t>
  </si>
  <si>
    <t>Oyo (1100)</t>
  </si>
  <si>
    <t>Garri white</t>
  </si>
  <si>
    <t>Gari white,sold loose</t>
  </si>
  <si>
    <t>Gombe (1550)</t>
  </si>
  <si>
    <t>Kogi (1000.04)</t>
  </si>
  <si>
    <t>Gombe (1500)</t>
  </si>
  <si>
    <t>Kogi (800.1)</t>
  </si>
  <si>
    <t>Abuja (1662.11)</t>
  </si>
  <si>
    <t>Oyo (909.09)</t>
  </si>
  <si>
    <t>Kebbi (1693.78)</t>
  </si>
  <si>
    <t>Ogun (923.61)</t>
  </si>
  <si>
    <t>Abuja (1901.33)</t>
  </si>
  <si>
    <t>Ondo (950)</t>
  </si>
  <si>
    <t>Abuja (1902)</t>
  </si>
  <si>
    <t>Ondo (1000)</t>
  </si>
  <si>
    <t>Ginger, fresh</t>
  </si>
  <si>
    <t>Oyo (5000)</t>
  </si>
  <si>
    <t>Katsina (2550)</t>
  </si>
  <si>
    <t>Rivers (5300)</t>
  </si>
  <si>
    <t>Katsina (2650)</t>
  </si>
  <si>
    <t>Ebonyi (6079.7)</t>
  </si>
  <si>
    <t>Katsina (3044.38)</t>
  </si>
  <si>
    <t>Ebonyi (6413.27)</t>
  </si>
  <si>
    <t>Adamawa (3800)</t>
  </si>
  <si>
    <t>Goat Meat Bone in</t>
  </si>
  <si>
    <t>Akwa Ibom (8687.5)</t>
  </si>
  <si>
    <t>Kogi (3925)</t>
  </si>
  <si>
    <t>Akwa Ibom (9500)</t>
  </si>
  <si>
    <t>Kogi (3800)</t>
  </si>
  <si>
    <t>Akwa Ibom (10340)</t>
  </si>
  <si>
    <t>Kogi (3850)</t>
  </si>
  <si>
    <t>Imo (9200)</t>
  </si>
  <si>
    <t>Kogi (4000)</t>
  </si>
  <si>
    <t>Groundnut oil, 75cl</t>
  </si>
  <si>
    <t>Groundnut oil: 1 bottle, specify bottle</t>
  </si>
  <si>
    <t>Ekiti (4100)</t>
  </si>
  <si>
    <t>Adamawa (2100)</t>
  </si>
  <si>
    <t>Osun (4133.33)</t>
  </si>
  <si>
    <t>Niger (2282.59)</t>
  </si>
  <si>
    <t>Ogun (3900)</t>
  </si>
  <si>
    <t>Adamawa (2000)</t>
  </si>
  <si>
    <t>Abuja (2250)</t>
  </si>
  <si>
    <t>Ekiti (4209.71)</t>
  </si>
  <si>
    <t>Ebonyi (2394.41)</t>
  </si>
  <si>
    <t>Ekiti (4200)</t>
  </si>
  <si>
    <t>Abia (2335.05)</t>
  </si>
  <si>
    <t>Groundnuts, roasted,75cl bottle</t>
  </si>
  <si>
    <t>Bayelsa (3125)</t>
  </si>
  <si>
    <t>Kano (1806.47)</t>
  </si>
  <si>
    <t>Bayelsa (3148.21)</t>
  </si>
  <si>
    <t>Osun (1900)</t>
  </si>
  <si>
    <t>Zamfara (3235.2)</t>
  </si>
  <si>
    <t>Kwara (2000)</t>
  </si>
  <si>
    <t>Kwara</t>
  </si>
  <si>
    <t>Bayelsa (3223.21)</t>
  </si>
  <si>
    <t>Yobe (2100)</t>
  </si>
  <si>
    <t>Iced Sardine</t>
  </si>
  <si>
    <t>Gombe (5308.98)</t>
  </si>
  <si>
    <t>Niger (2562.63)</t>
  </si>
  <si>
    <t>Gombe (5850.39)</t>
  </si>
  <si>
    <t>Niger (2565.63)</t>
  </si>
  <si>
    <t>Irish Potatoe</t>
  </si>
  <si>
    <t>Irish potato</t>
  </si>
  <si>
    <t>Kogi (2839.31)</t>
  </si>
  <si>
    <t>Bauchi (1075.42)</t>
  </si>
  <si>
    <t>Kogi (2840.23)</t>
  </si>
  <si>
    <t>Yobe (1038.46)</t>
  </si>
  <si>
    <t>Oyo (2687.5)</t>
  </si>
  <si>
    <t>Abuja (972.45)</t>
  </si>
  <si>
    <t>Anambra (2782.21)</t>
  </si>
  <si>
    <t>Abuja (931.78)</t>
  </si>
  <si>
    <t>Anambra (3021.19)</t>
  </si>
  <si>
    <t>Abuja (1098.24)</t>
  </si>
  <si>
    <t>Anambra (3044.25)</t>
  </si>
  <si>
    <t>Abuja (1200)</t>
  </si>
  <si>
    <t>Local Rice (Broken)</t>
  </si>
  <si>
    <t>Broken Rice (Ofada)</t>
  </si>
  <si>
    <t>Osun (3400)</t>
  </si>
  <si>
    <t>Adamawa (1500)</t>
  </si>
  <si>
    <t>Osun (3500)</t>
  </si>
  <si>
    <t>Adamawa (1600)</t>
  </si>
  <si>
    <t>Ogun (4500)</t>
  </si>
  <si>
    <t>Yobe (1416.67)</t>
  </si>
  <si>
    <t>Jigawa (1523)</t>
  </si>
  <si>
    <t>Abuja (3800)</t>
  </si>
  <si>
    <t>Yobe (1610.02)</t>
  </si>
  <si>
    <t>Mackerel, Frozen</t>
  </si>
  <si>
    <t>Mackerel : frozen</t>
  </si>
  <si>
    <t>Imo (5583)</t>
  </si>
  <si>
    <t>Abuja (2713.69)</t>
  </si>
  <si>
    <t>Imo (5748.4)</t>
  </si>
  <si>
    <t>Abuja (2716.99)</t>
  </si>
  <si>
    <t>Plateau (8696.05)</t>
  </si>
  <si>
    <t>Zamfara (3196.67)</t>
  </si>
  <si>
    <t>Plateau (8517.33)</t>
  </si>
  <si>
    <t>Oyo (3568.18)</t>
  </si>
  <si>
    <t>Plateau (9965.28)</t>
  </si>
  <si>
    <t>Zamfara (3415)</t>
  </si>
  <si>
    <t>Plateau (9000)</t>
  </si>
  <si>
    <t>Oyo (3500)</t>
  </si>
  <si>
    <t>Maize (Corn) Grains (White) sold loose</t>
  </si>
  <si>
    <t>Maize grain white sold loose</t>
  </si>
  <si>
    <t>Taraba (1600)</t>
  </si>
  <si>
    <t>Borno (830.36)</t>
  </si>
  <si>
    <t>Adamawa (1800)</t>
  </si>
  <si>
    <t>Borno (777.99)</t>
  </si>
  <si>
    <t>Imo (1762.5)</t>
  </si>
  <si>
    <t>Kebbi (692.27)</t>
  </si>
  <si>
    <t>Imo (1979.17)</t>
  </si>
  <si>
    <t>Yobe (687.5)</t>
  </si>
  <si>
    <t>Imo (2064.13)</t>
  </si>
  <si>
    <t>Kano (718.23)</t>
  </si>
  <si>
    <t>Imo (2000)</t>
  </si>
  <si>
    <t>Yobe (858.67)</t>
  </si>
  <si>
    <t>Maize grain yellow sold loose</t>
  </si>
  <si>
    <t>Taraba (1700)</t>
  </si>
  <si>
    <t>Jigawa (828.82)</t>
  </si>
  <si>
    <t>Yobe (800.27)</t>
  </si>
  <si>
    <t>Mudfish (aro) fresh</t>
  </si>
  <si>
    <t>Akwa Ibom (5696.18)</t>
  </si>
  <si>
    <t>Benue (2628.08)</t>
  </si>
  <si>
    <t>Oyo (5868.57)</t>
  </si>
  <si>
    <t>Benue (2685.9)</t>
  </si>
  <si>
    <t>Mudfish : dried</t>
  </si>
  <si>
    <t>Abia (10329.43)</t>
  </si>
  <si>
    <t>Plateau (3145.69)</t>
  </si>
  <si>
    <t>Abia (11717.68)</t>
  </si>
  <si>
    <t>Niger (3199.89)</t>
  </si>
  <si>
    <t>Onions, fresh</t>
  </si>
  <si>
    <t>Onion bulb</t>
  </si>
  <si>
    <t>Ebonyi (3025)</t>
  </si>
  <si>
    <t>Yobe (855.26)</t>
  </si>
  <si>
    <t>Ebonyi (3286.92)</t>
  </si>
  <si>
    <t>Borno (1000)</t>
  </si>
  <si>
    <t xml:space="preserve">Onions, fresh </t>
  </si>
  <si>
    <t>Cross River (2500)</t>
  </si>
  <si>
    <t>Cross River</t>
  </si>
  <si>
    <t>Taraba (520)</t>
  </si>
  <si>
    <t>Cross River (2483.33)</t>
  </si>
  <si>
    <t>Taraba (560)</t>
  </si>
  <si>
    <t>Abia (2841.43)</t>
  </si>
  <si>
    <t>Taraba (600)</t>
  </si>
  <si>
    <t>Abia (2840.42)</t>
  </si>
  <si>
    <t>Niger (850)</t>
  </si>
  <si>
    <t>Palm oil, 75cl</t>
  </si>
  <si>
    <t>Palm oil: 1 bottle,specify bottle</t>
  </si>
  <si>
    <t>Taraba (3500)</t>
  </si>
  <si>
    <t>Abuja (1442.83)</t>
  </si>
  <si>
    <t>Adamawa (3350)</t>
  </si>
  <si>
    <t>Niger (1172.81)</t>
  </si>
  <si>
    <t>Ogun (3000)</t>
  </si>
  <si>
    <t>Taraba (1363.33)</t>
  </si>
  <si>
    <t>Ekiti (3128.96)</t>
  </si>
  <si>
    <t>Taraba (1730)</t>
  </si>
  <si>
    <t>Enugu (3216.49)</t>
  </si>
  <si>
    <t>Taraba (1795.83)</t>
  </si>
  <si>
    <t>Plantain (ripe)</t>
  </si>
  <si>
    <t>Plantain(ripe)</t>
  </si>
  <si>
    <t>Edo (2257.75)</t>
  </si>
  <si>
    <t>Edo</t>
  </si>
  <si>
    <t>Borno (913.89)</t>
  </si>
  <si>
    <t>Akwa Ibom (2166.26)</t>
  </si>
  <si>
    <t>Borno (916.67)</t>
  </si>
  <si>
    <t>Akwa Ibom (2202.78)</t>
  </si>
  <si>
    <t>Lagos (1584.06)</t>
  </si>
  <si>
    <t>Lagos</t>
  </si>
  <si>
    <t>Abuja (2400)</t>
  </si>
  <si>
    <t>Gombe (1476.25)</t>
  </si>
  <si>
    <t>Plateau (2696.63)</t>
  </si>
  <si>
    <t>Gombe (1538.75)</t>
  </si>
  <si>
    <t>Kano (1650.58)</t>
  </si>
  <si>
    <t>Plantain (unripe)</t>
  </si>
  <si>
    <t>Plantain(unripe)</t>
  </si>
  <si>
    <t>Ondo (2300)</t>
  </si>
  <si>
    <t>Benue (899.47)</t>
  </si>
  <si>
    <t>Ondo (2310)</t>
  </si>
  <si>
    <t>Yobe (901)</t>
  </si>
  <si>
    <t>Plateau (2821.97)</t>
  </si>
  <si>
    <t>Oyo (1564.71)</t>
  </si>
  <si>
    <t>Plateau (2886.64)</t>
  </si>
  <si>
    <t>Osun (1479.78)</t>
  </si>
  <si>
    <t>Plateau (2904.77)</t>
  </si>
  <si>
    <t>Oyo (1690.91)</t>
  </si>
  <si>
    <t>Kano (1566.67)</t>
  </si>
  <si>
    <t>Rice Local, short-Grained</t>
  </si>
  <si>
    <t>Rice local sold loose</t>
  </si>
  <si>
    <t>Kogi (2758.06)</t>
  </si>
  <si>
    <t>Benue (1268.66)</t>
  </si>
  <si>
    <t>Kogi (2738.22)</t>
  </si>
  <si>
    <t>Benue (1296.57)</t>
  </si>
  <si>
    <t>Plateau (2559.74)</t>
  </si>
  <si>
    <t>Oyo (1578.69)</t>
  </si>
  <si>
    <t>Plateau (2600)</t>
  </si>
  <si>
    <t>Oyo (1516.13)</t>
  </si>
  <si>
    <t>Enugu (2691)</t>
  </si>
  <si>
    <t>Oyo (1773.87)</t>
  </si>
  <si>
    <t>Enugu (2600)</t>
  </si>
  <si>
    <t>Oyo (1800)</t>
  </si>
  <si>
    <t>Rice Long-Grained (Imported)</t>
  </si>
  <si>
    <t>Rice,imported high quality sold loose</t>
  </si>
  <si>
    <t>Kogi (3263.85)</t>
  </si>
  <si>
    <t>Niger (2023.94)</t>
  </si>
  <si>
    <t>Kwara (3350.33)</t>
  </si>
  <si>
    <t>Borno (1757.13)</t>
  </si>
  <si>
    <t>Plateau (3181.82)</t>
  </si>
  <si>
    <t>Oyo (1935.48)</t>
  </si>
  <si>
    <t>Plateau (3190.91)</t>
  </si>
  <si>
    <t>Oyo (1938.71)</t>
  </si>
  <si>
    <t>Plateau (3590.91)</t>
  </si>
  <si>
    <t>Oyo (2125.16)</t>
  </si>
  <si>
    <t>Cross River (3200)</t>
  </si>
  <si>
    <t>Rice Medium Grained</t>
  </si>
  <si>
    <t>Kogi (2910.41)</t>
  </si>
  <si>
    <t>Benue (1630.42)</t>
  </si>
  <si>
    <t>Kogi (2900.11)</t>
  </si>
  <si>
    <t>Benue (1666.29)</t>
  </si>
  <si>
    <t>Rice agric sold loose</t>
  </si>
  <si>
    <t>Nasarawa (3121.18)</t>
  </si>
  <si>
    <t>Benue (1356.37)</t>
  </si>
  <si>
    <t>Nasarawa (3202.33)</t>
  </si>
  <si>
    <t>Benue (1386.21)</t>
  </si>
  <si>
    <t>Semovita, Prepacked (1kg)</t>
  </si>
  <si>
    <t>Rivers (2550)</t>
  </si>
  <si>
    <t>Oyo (1700)</t>
  </si>
  <si>
    <t>Rivers (2580)</t>
  </si>
  <si>
    <t>Lagos (1800)</t>
  </si>
  <si>
    <t>Rivers (2775)</t>
  </si>
  <si>
    <t>Adamawa (2887)</t>
  </si>
  <si>
    <t>Lagos (1900)</t>
  </si>
  <si>
    <t>Smoked fish (Mackerel)</t>
  </si>
  <si>
    <t>Kwara (8000)</t>
  </si>
  <si>
    <t>Kebbi (3360.04)</t>
  </si>
  <si>
    <t>Kwara (8230)</t>
  </si>
  <si>
    <t>Kebbi (3401.7)</t>
  </si>
  <si>
    <t>Kwara (8258)</t>
  </si>
  <si>
    <t>Kebbi (3645.99)</t>
  </si>
  <si>
    <t>Kebbi (3871.39)</t>
  </si>
  <si>
    <t>Sweet potatoes</t>
  </si>
  <si>
    <t>Sweet potato</t>
  </si>
  <si>
    <t>Cross River (1989.04)</t>
  </si>
  <si>
    <t>Adamawa (450)</t>
  </si>
  <si>
    <t>Cross River (1969.15)</t>
  </si>
  <si>
    <t xml:space="preserve">Sweet potatoes </t>
  </si>
  <si>
    <t>Nasarawa (500)</t>
  </si>
  <si>
    <t>Taraba (1594.31)</t>
  </si>
  <si>
    <t>Adamawa (520)</t>
  </si>
  <si>
    <t>Taraba (1817.51)</t>
  </si>
  <si>
    <t>Adamawa (530)</t>
  </si>
  <si>
    <t>Delta (1588.38)</t>
  </si>
  <si>
    <t>Nasarawa (560)</t>
  </si>
  <si>
    <t>Tilapia fresh fish (Epiya)</t>
  </si>
  <si>
    <t>Tilapia fish (epiya) fresh</t>
  </si>
  <si>
    <t>Ebonyi (6384.57)</t>
  </si>
  <si>
    <t>Taraba (2200)</t>
  </si>
  <si>
    <t>Ebonyi (6440.75)</t>
  </si>
  <si>
    <t>Taraba (2300)</t>
  </si>
  <si>
    <t>Benue (8239.29)</t>
  </si>
  <si>
    <t>Kebbi (3692.11)</t>
  </si>
  <si>
    <t>Yobe (3750)</t>
  </si>
  <si>
    <t>Benue (8323.74)</t>
  </si>
  <si>
    <t>Kebbi (4000)</t>
  </si>
  <si>
    <t>Benue (8323.75)</t>
  </si>
  <si>
    <t>Yobe (4050)</t>
  </si>
  <si>
    <t>Tin Milk-Evaporated, Peak Milk, 150g</t>
  </si>
  <si>
    <t>Evaporated tinned milk(peak), 170g</t>
  </si>
  <si>
    <t>Gombe (1450)</t>
  </si>
  <si>
    <t>Niger (750)</t>
  </si>
  <si>
    <t>Gombe (1455)</t>
  </si>
  <si>
    <t>Niger (810)</t>
  </si>
  <si>
    <t>Rivers (1150)</t>
  </si>
  <si>
    <t>Bayelsa (725)</t>
  </si>
  <si>
    <t>Enugu (1200)</t>
  </si>
  <si>
    <t>Bayelsa (782.14)</t>
  </si>
  <si>
    <t>Enugu (1287.5)</t>
  </si>
  <si>
    <t>Osun (827.5)</t>
  </si>
  <si>
    <t>Enugu (1302.83)</t>
  </si>
  <si>
    <t>Oyo (860)</t>
  </si>
  <si>
    <t>Tin Milk-Evaporated, Three Crown Milk, 160g</t>
  </si>
  <si>
    <t>Evaporated tinned milk carnation 170g</t>
  </si>
  <si>
    <t>Gombe (1525)</t>
  </si>
  <si>
    <t>Kogi (640.53)</t>
  </si>
  <si>
    <t>Kogi (640.11)</t>
  </si>
  <si>
    <t>Bayelsa (1200)</t>
  </si>
  <si>
    <t>Benue (675)</t>
  </si>
  <si>
    <t>Bayelsa (1057.14)</t>
  </si>
  <si>
    <t>Kogi (650)</t>
  </si>
  <si>
    <t>Delta (1073.3)</t>
  </si>
  <si>
    <t>Kogi (701)</t>
  </si>
  <si>
    <t>Borno (1184.25)</t>
  </si>
  <si>
    <t>Osun (750)</t>
  </si>
  <si>
    <t>Titus, frozen</t>
  </si>
  <si>
    <t>Titus:frozen</t>
  </si>
  <si>
    <t>Ebonyi (5661.92)</t>
  </si>
  <si>
    <t>Taraba (3250)</t>
  </si>
  <si>
    <t>Ebonyi (5862.69)</t>
  </si>
  <si>
    <t>Taraba (3350)</t>
  </si>
  <si>
    <t>Kwara (8343.26)</t>
  </si>
  <si>
    <t>Taraba (4000)</t>
  </si>
  <si>
    <t>Yobe (4200)</t>
  </si>
  <si>
    <t>Kwara (8927.29)</t>
  </si>
  <si>
    <t>Oyo (4485.35)</t>
  </si>
  <si>
    <t>Oyo (4490)</t>
  </si>
  <si>
    <t>Tomatoes, fresh</t>
  </si>
  <si>
    <t>Tomato</t>
  </si>
  <si>
    <t>Enugu (2352.28)</t>
  </si>
  <si>
    <t>Borno (660.84)</t>
  </si>
  <si>
    <t>Ebonyi (2421.37)</t>
  </si>
  <si>
    <t>Jigawa (694.31)</t>
  </si>
  <si>
    <t xml:space="preserve">Tomatoes, fresh </t>
  </si>
  <si>
    <t>Ebonyi (1778.11)</t>
  </si>
  <si>
    <t>Kebbi (512.96)</t>
  </si>
  <si>
    <t>Ebonyi (1787.31)</t>
  </si>
  <si>
    <t>Kebbi (624.32)</t>
  </si>
  <si>
    <t>Ebonyi (1882.36)</t>
  </si>
  <si>
    <t>Yobe (650)</t>
  </si>
  <si>
    <t>Imo (1929.19)</t>
  </si>
  <si>
    <t>Kaduna (848.78)</t>
  </si>
  <si>
    <t>Vegetable Oil, 75cl</t>
  </si>
  <si>
    <t>Vegetable oil:1 bottle,specify bottle</t>
  </si>
  <si>
    <t>Ekiti (4000)</t>
  </si>
  <si>
    <t>Bauchi (2200)</t>
  </si>
  <si>
    <t>Abuja (2301.44)</t>
  </si>
  <si>
    <t>Ekiti (4616.67)</t>
  </si>
  <si>
    <t>Ekiti (4648.67)</t>
  </si>
  <si>
    <t>Ekiti (4850)</t>
  </si>
  <si>
    <t>Jigawa (2517.5)</t>
  </si>
  <si>
    <t>Ekiti (4800)</t>
  </si>
  <si>
    <t>Adamawa (2600)</t>
  </si>
  <si>
    <t>Watermelon whole, medium size fresh</t>
  </si>
  <si>
    <t>Akwa Ibom (2500)</t>
  </si>
  <si>
    <t>Zamfara (1200)</t>
  </si>
  <si>
    <t>Anambra (2795)</t>
  </si>
  <si>
    <t>Zamfara (1100)</t>
  </si>
  <si>
    <t>Anambra (3057.65)</t>
  </si>
  <si>
    <t>Zamfara (1300)</t>
  </si>
  <si>
    <t>Anambra (3057.15)</t>
  </si>
  <si>
    <t>Katsina (1384.6)</t>
  </si>
  <si>
    <t>Wheat Flour, Prepacked (2kg)</t>
  </si>
  <si>
    <t>Wheat flour: prepacked (golden penny 2kg)</t>
  </si>
  <si>
    <t>Niger (5462.63)</t>
  </si>
  <si>
    <t>Plateau (2667.9)</t>
  </si>
  <si>
    <t>Niger (5463.63)</t>
  </si>
  <si>
    <t>Plateau (2739.94)</t>
  </si>
  <si>
    <t>Borno (5500)</t>
  </si>
  <si>
    <t>Bauchi (2700)</t>
  </si>
  <si>
    <t>Imo (5616.67)</t>
  </si>
  <si>
    <t>Bauchi (2800)</t>
  </si>
  <si>
    <t>Imo (6008.67)</t>
  </si>
  <si>
    <t>Bauchi (2925)</t>
  </si>
  <si>
    <t>Imo (6247.72)</t>
  </si>
  <si>
    <t>Ondo (3300)</t>
  </si>
  <si>
    <t>Yam Tuber</t>
  </si>
  <si>
    <t>Yam tuber</t>
  </si>
  <si>
    <t>Kwara (4041.66)</t>
  </si>
  <si>
    <t>Borno (885.74)</t>
  </si>
  <si>
    <t>Kwara (4200.11)</t>
  </si>
  <si>
    <t>Borno (895.09)</t>
  </si>
  <si>
    <t>Ogun (2566.67)</t>
  </si>
  <si>
    <t>Ondo (1450)</t>
  </si>
  <si>
    <t>Imo (2535.03)</t>
  </si>
  <si>
    <t>Ondo (1417.87)</t>
  </si>
  <si>
    <t>Imo (2765.99)</t>
  </si>
  <si>
    <t>Ondo (1523.42)</t>
  </si>
  <si>
    <t>Imo (2985.28)</t>
  </si>
  <si>
    <t>Benue (1810)</t>
  </si>
  <si>
    <t>Months Covered</t>
  </si>
  <si>
    <t>Avg Price Nov-2024</t>
  </si>
  <si>
    <t>Avg Price Dec-2024</t>
  </si>
  <si>
    <t>Avg Price Jan-2025</t>
  </si>
  <si>
    <t>Avg Price Feb-2025</t>
  </si>
  <si>
    <t>Avg Price Mar-2025</t>
  </si>
  <si>
    <t>Avg Price Apr-2025</t>
  </si>
  <si>
    <t>Avg MoM %</t>
  </si>
  <si>
    <t>Avg YoY %</t>
  </si>
  <si>
    <t>Latest Price</t>
  </si>
  <si>
    <t>State</t>
  </si>
  <si>
    <t>Times Highest</t>
  </si>
  <si>
    <t>Times Lowest</t>
  </si>
  <si>
    <t>Avg Price When Highest</t>
  </si>
  <si>
    <t>Avg Price When Lowest</t>
  </si>
  <si>
    <t>Top 10 Items by Average YoY Inflation (Nov'24–Apr'25)</t>
  </si>
  <si>
    <t>Top 10 Items by Average MoM Increase</t>
  </si>
  <si>
    <t>Top 10 States — Most Often the Highest-Price State</t>
  </si>
  <si>
    <t>Top 10 States — Most Often the Lowest-Price State</t>
  </si>
  <si>
    <t>Item</t>
  </si>
  <si>
    <t>Original Label(s) Seen In Raw Data</t>
  </si>
  <si>
    <t>Note</t>
  </si>
  <si>
    <t xml:space="preserve">Agric eggs(medium size price of one) | Agric hen eggs | Agric hen eggs, </t>
  </si>
  <si>
    <t>Linked via matching Avg(Previous Month) value in Jan-2025 data</t>
  </si>
  <si>
    <t>Nov-2024, Dec-2024, Jan-2025, Feb-2025, Mar-2025, Apr-2025</t>
  </si>
  <si>
    <t>Beans Brown | Beans brown,sold loose</t>
  </si>
  <si>
    <t>Beans white | Beans:white black eye. sold loose</t>
  </si>
  <si>
    <t>Beef Boneless | Beef,boneless</t>
  </si>
  <si>
    <t>Cat fresh fish | Catfish (obokun) fresh</t>
  </si>
  <si>
    <t>Chicken Feet | Chicken feet</t>
  </si>
  <si>
    <t>Chicken meat (Frozen) | Frozen chicken</t>
  </si>
  <si>
    <t>Gari yellow,sold loose | Garri Yellow</t>
  </si>
  <si>
    <t>Gari white,sold loose | Garri white</t>
  </si>
  <si>
    <t>Irish Potatoe | Irish potato</t>
  </si>
  <si>
    <t>Mackerel : frozen | Mackerel, Frozen</t>
  </si>
  <si>
    <t>Maize (Corn) Grains (White) sold loose | Maize grain white sold loose</t>
  </si>
  <si>
    <t xml:space="preserve">Onion bulb | Onions, fresh </t>
  </si>
  <si>
    <t>Palm oil, 75cl | Palm oil: 1 bottle,specify bottle</t>
  </si>
  <si>
    <t>Plantain (ripe) | Plantain(ripe)</t>
  </si>
  <si>
    <t>Plantain (unripe) | Plantain(unripe)</t>
  </si>
  <si>
    <t>Rice Local, short-Grained | Rice local sold loose</t>
  </si>
  <si>
    <t>Rice Long-Grained (Imported) | Rice,imported high quality sold loose</t>
  </si>
  <si>
    <t xml:space="preserve">Sweet potato | Sweet potatoes </t>
  </si>
  <si>
    <t>Tilapia fish (epiya) fresh | Tilapia fresh fish (Epiya)</t>
  </si>
  <si>
    <t>Evaporated tinned milk(peak), 170g | Tin Milk-Evaporated, Peak Milk, 150g</t>
  </si>
  <si>
    <t>Titus, frozen | Titus:frozen</t>
  </si>
  <si>
    <t xml:space="preserve">Tomato | Tomatoes, fresh </t>
  </si>
  <si>
    <t>Vegetable Oil, 75cl | Vegetable oil:1 bottle,specify bottle</t>
  </si>
  <si>
    <t>Wheat Flour, Prepacked (2kg) | Wheat flour: prepacked (golden penny 2kg)</t>
  </si>
  <si>
    <t>Yam Tuber | Yam tuber</t>
  </si>
  <si>
    <t>Tracked only Nov-Dec 2024; no successor item in the Jan-2025+ list</t>
  </si>
  <si>
    <t>Nov-2024, Dec-2024</t>
  </si>
  <si>
    <t>Agric eggs medium size | Agric hen eggs, (a Crate of 30 pieces)</t>
  </si>
  <si>
    <t>Same food, unit/brand description changed between Dec-2024 and Jan-2025 lists — not value-confirmed</t>
  </si>
  <si>
    <t>Bread (sliced), 450g | Bread sliced 500g</t>
  </si>
  <si>
    <t>Bread (unsliced), 450g | Bread unsliced 500g</t>
  </si>
  <si>
    <t>Groundnut oil, 75cl | Groundnut oil: 1 bottle, specify bottle</t>
  </si>
  <si>
    <t>Broken Rice (Ofada) | Local Rice (Broken)</t>
  </si>
  <si>
    <t>Evaporated tinned milk carnation 170g | Tin Milk-Evaporated, Three Crown Milk, 160g</t>
  </si>
  <si>
    <t>Introduced starting Jan-2025; no predecessor in Nov-Dec 2024 list</t>
  </si>
  <si>
    <t>Jan-2025, Feb-2025, Mar-2025, Apr-2025</t>
  </si>
  <si>
    <t>Row Labels</t>
  </si>
  <si>
    <t>Grand Total</t>
  </si>
  <si>
    <t>Column Labels</t>
  </si>
  <si>
    <t>Average Price</t>
  </si>
  <si>
    <t>Price Trend by item</t>
  </si>
  <si>
    <t>Sum of MoM</t>
  </si>
  <si>
    <t>Total Sum of MoM</t>
  </si>
  <si>
    <t>Total Sum of YoY</t>
  </si>
  <si>
    <t>Sum of YoY</t>
  </si>
  <si>
    <t>MOM/YOY BY ITEMS</t>
  </si>
  <si>
    <t>Average of YoY</t>
  </si>
  <si>
    <t>TOP 10 INFLATION RANKING</t>
  </si>
  <si>
    <t>Count of Highest Price</t>
  </si>
  <si>
    <t>TOP 10 HIGHEST INFLATION RANKING</t>
  </si>
  <si>
    <t>Count of Lowest Price</t>
  </si>
  <si>
    <t>TOP 10 STATE WITH HIGHEST INFLATION RATE</t>
  </si>
  <si>
    <t xml:space="preserve"> </t>
  </si>
  <si>
    <t>Food Price Trends &amp; Inflation</t>
  </si>
  <si>
    <t>Selected Food Prices — Nigeria, November 2024 to April 2025</t>
  </si>
  <si>
    <t>Prepared from the Selected Food Price Watch dataset, standardized across a Jan-2025 item-list change.</t>
  </si>
  <si>
    <t>1. National Price Trend</t>
  </si>
  <si>
    <t>Summing the 33 items tracked continuously across all six months, the total basket rose from ₦84,423 in November 2024 to ₦95,788 in April 2025 — a 13.5% increase over five months, roughly 2.5% per month compounded.</t>
  </si>
  <si>
    <t>The rise wasn't a straight line. Prices climbed steadily through March, then eased slightly in April (₦97,158 → ₦95,788) — the only month-over-month dip in the entire window.</t>
  </si>
  <si>
    <t>Basket Total (₦)</t>
  </si>
  <si>
    <t>2. Inflation Is Not Evenly Spread Across Food Groups</t>
  </si>
  <si>
    <t>Average year-on-year (YoY) inflation varies sharply by category as of April 2025:</t>
  </si>
  <si>
    <t>Category</t>
  </si>
  <si>
    <t>Staples (rice, beans, garri, yam, plantain)</t>
  </si>
  <si>
    <t>Fish / seafood</t>
  </si>
  <si>
    <t>Processed / dairy</t>
  </si>
  <si>
    <t>Meat / poultry / eggs</t>
  </si>
  <si>
    <t>Cooking oils</t>
  </si>
  <si>
    <t>Vegetables / fruit</t>
  </si>
  <si>
    <r>
      <t xml:space="preserve">Staples effectively doubled year-on-year. </t>
    </r>
    <r>
      <rPr>
        <sz val="11"/>
        <color theme="1"/>
        <rFont val="Calibri"/>
        <family val="2"/>
      </rPr>
      <t>This is the most consequential finding in the dataset. Staples form the base of most Nigerian households' calorie intake and are the least substitutable food group, so this is where inflation is felt hardest — particularly by low-income households.</t>
    </r>
  </si>
  <si>
    <t>3. A Small Set of Items Is Driving Volatility</t>
  </si>
  <si>
    <t>Local Rice (Broken), Beans (Brown &amp; White), Plantain, and Yam Tuber lead YoY inflation at 114–158%, all staples, consistent with the finding above.</t>
  </si>
  <si>
    <t>Separately, Onions and Agric Hen Eggs (crate of 30) are the most volatile items month-to-month (standard deviation of MoM change of roughly 27% and 17% respectively). These swing sharply rather than trending steadily — a supply-chain and perishability signature rather than a structural inflation one.</t>
  </si>
  <si>
    <t>4. Geography Matters More Than Expected</t>
  </si>
  <si>
    <t>The average gap between a food's highest-priced state and its lowest-priced state is 123% — the median gap is exactly 100%, meaning for a typical item in a typical month, the price simply doubles between the cheapest and most expensive state.</t>
  </si>
  <si>
    <t>Avg State Price Gap</t>
  </si>
  <si>
    <t>Agric Hen Eggs (crate of 30)</t>
  </si>
  <si>
    <t>Mudfish, dried</t>
  </si>
  <si>
    <t>Northeastern states (Yobe, Borno, Adamawa, Taraba, Gombe, Bauchi) appear as the lowest-price state 91 times across the dataset, versus only 34 times as the highest-price state. This is consistent with these being production zones where the crop is grown, but transport and insecurity constraints limit onward distribution — the price gap reflects logistics friction more than production cost.</t>
  </si>
  <si>
    <t>5. Recommendations</t>
  </si>
  <si>
    <t>On the April price dip</t>
  </si>
  <si>
    <t>Treat the April easing with caution in any report. One month is not a trend reversal, and it follows five consecutive months of increases. It should be described as “stabilizing” rather than “improving” until May/June data confirms the direction.</t>
  </si>
  <si>
    <t>On food security framing</t>
  </si>
  <si>
    <t>The staples finding, not the volatile perishables, is the headline. A roughly 100% YoY increase in rice, beans, and yam affects nutrition security more than a volatile onion price, because households can skip onions for a week but not staples. Any policy-facing summary of this data should lead with the staples figure.</t>
  </si>
  <si>
    <t>On the state price gap</t>
  </si>
  <si>
    <t>This reads as a logistics and storage problem rather than a scarcity one. Northeastern states are cheap sources but rarely the expensive destination, meaning value is being lost — or captured elsewhere — between farm-gate and market. A useful follow-up would be to check whether transport-cost or post-harvest-loss data exists for the northeastern corridor to confirm the mechanism, particularly using field-level data collection tools such as ODK or KoboCollect.</t>
  </si>
  <si>
    <t>On using this dataset going forward</t>
  </si>
  <si>
    <t>Ten items were discontinued and nine new items were introduced starting January 2025, so any YoY comparison beyond January 2025 is only fully reliable for the 27 items confirmed as continuous series. Any external-facing use of this data should footnote that MoM/YoY figures for the remaining items may partly reflect a unit or brand change rather than pure price movement.</t>
  </si>
  <si>
    <t>Source: Selected Food Price Watch, standardized dataset, Nov 2024–Apr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</si>
</sst>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b/>
      <sz val="14"/>
      <color rgb="FF1F4E78"/>
      <name val="Arial"/>
      <charset val="1"/>
    </font>
    <font>
      <sz val="10"/>
      <name val="Arial"/>
      <charset val="1"/>
    </font>
    <font>
      <b/>
      <sz val="11"/>
      <color rgb="FF1F4E78"/>
      <name val="Arial"/>
      <charset val="1"/>
    </font>
    <font>
      <b/>
      <sz val="10"/>
      <color rgb="FFFFFFFF"/>
      <name val="Arial"/>
      <charset val="1"/>
    </font>
    <font>
      <b/>
      <sz val="24"/>
      <color theme="1"/>
      <name val="Arial"/>
      <family val="2"/>
    </font>
    <font>
      <b/>
      <sz val="18"/>
      <color theme="1"/>
      <name val="Arial"/>
      <family val="2"/>
    </font>
    <font>
      <sz val="11"/>
      <color theme="1"/>
      <name val="Calibri"/>
      <family val="2"/>
    </font>
    <font>
      <b/>
      <sz val="11"/>
      <color theme="1"/>
      <name val="Calibri"/>
      <family val="2"/>
    </font>
    <font>
      <b/>
      <sz val="20"/>
      <color rgb="FF1F4E78"/>
      <name val="Calibri"/>
      <family val="2"/>
    </font>
    <font>
      <i/>
      <sz val="12"/>
      <color rgb="FF666666"/>
      <name val="Calibri"/>
      <family val="2"/>
    </font>
    <font>
      <sz val="10"/>
      <color rgb="FF666666"/>
      <name val="Calibri"/>
      <family val="2"/>
    </font>
    <font>
      <b/>
      <sz val="15"/>
      <color rgb="FF1F4E78"/>
      <name val="Calibri"/>
      <family val="2"/>
    </font>
    <font>
      <b/>
      <sz val="10"/>
      <color rgb="FFFFFFFF"/>
      <name val="Calibri"/>
      <family val="2"/>
    </font>
    <font>
      <sz val="10"/>
      <color theme="1"/>
      <name val="Calibri"/>
      <family val="2"/>
    </font>
    <font>
      <sz val="10"/>
      <color rgb="FF000000"/>
      <name val="Calibri"/>
      <family val="2"/>
    </font>
    <font>
      <b/>
      <sz val="12"/>
      <color rgb="FF1F4E78"/>
      <name val="Calibri"/>
      <family val="2"/>
    </font>
    <font>
      <i/>
      <sz val="9"/>
      <color rgb="FF666666"/>
      <name val="Calibri"/>
      <family val="2"/>
    </font>
  </fonts>
  <fills count="12">
    <fill>
      <patternFill patternType="none"/>
    </fill>
    <fill>
      <patternFill patternType="gray125"/>
    </fill>
    <fill>
      <patternFill patternType="solid">
        <fgColor rgb="FF1F4E78"/>
        <bgColor rgb="FF003366"/>
      </patternFill>
    </fill>
    <fill>
      <patternFill patternType="solid">
        <fgColor rgb="FFC6EFCE"/>
        <bgColor rgb="FFDDEBF7"/>
      </patternFill>
    </fill>
    <fill>
      <patternFill patternType="solid">
        <fgColor rgb="FFFFEB9C"/>
        <bgColor rgb="FFF4CCCC"/>
      </patternFill>
    </fill>
    <fill>
      <patternFill patternType="solid">
        <fgColor rgb="FFF4CCCC"/>
        <bgColor rgb="FFD9D9D9"/>
      </patternFill>
    </fill>
    <fill>
      <patternFill patternType="solid">
        <fgColor rgb="FFBDD7EE"/>
        <bgColor rgb="FFD9D9D9"/>
      </patternFill>
    </fill>
    <fill>
      <patternFill patternType="solid">
        <fgColor theme="9" tint="-0.249977111117893"/>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1F4E78"/>
        <bgColor indexed="64"/>
      </patternFill>
    </fill>
    <fill>
      <patternFill patternType="solid">
        <fgColor rgb="FFF2F6FA"/>
        <bgColor indexed="64"/>
      </patternFill>
    </fill>
  </fills>
  <borders count="6">
    <border>
      <left/>
      <right/>
      <top/>
      <bottom/>
      <diagonal/>
    </border>
    <border>
      <left style="thin">
        <color rgb="FFD9D9D9"/>
      </left>
      <right style="thin">
        <color rgb="FFD9D9D9"/>
      </right>
      <top style="thin">
        <color rgb="FFD9D9D9"/>
      </top>
      <bottom style="thin">
        <color rgb="FFD9D9D9"/>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40">
    <xf numFmtId="0" fontId="0" fillId="0" borderId="0" xfId="0"/>
    <xf numFmtId="0" fontId="3" fillId="0" borderId="0" xfId="0" applyFont="1"/>
    <xf numFmtId="0" fontId="2" fillId="0" borderId="1" xfId="0" applyFont="1" applyBorder="1" applyAlignment="1">
      <alignment vertical="center"/>
    </xf>
    <xf numFmtId="4" fontId="2" fillId="0" borderId="1" xfId="0" applyNumberFormat="1" applyFont="1" applyBorder="1" applyAlignment="1">
      <alignment vertical="center"/>
    </xf>
    <xf numFmtId="2" fontId="2" fillId="0" borderId="1" xfId="0" applyNumberFormat="1" applyFont="1" applyBorder="1" applyAlignment="1">
      <alignment vertical="center"/>
    </xf>
    <xf numFmtId="0" fontId="4" fillId="2" borderId="1" xfId="0" applyFont="1" applyFill="1" applyBorder="1" applyAlignment="1">
      <alignment horizontal="center" vertical="center" wrapText="1"/>
    </xf>
    <xf numFmtId="0" fontId="2" fillId="3" borderId="1" xfId="0" applyFont="1" applyFill="1" applyBorder="1" applyAlignment="1">
      <alignment vertical="center"/>
    </xf>
    <xf numFmtId="0" fontId="2" fillId="4" borderId="1" xfId="0" applyFont="1" applyFill="1" applyBorder="1" applyAlignment="1">
      <alignment vertical="center"/>
    </xf>
    <xf numFmtId="0" fontId="2" fillId="5" borderId="1" xfId="0" applyFont="1" applyFill="1" applyBorder="1" applyAlignment="1">
      <alignment vertical="center"/>
    </xf>
    <xf numFmtId="0" fontId="2" fillId="6" borderId="1" xfId="0" applyFont="1" applyFill="1" applyBorder="1" applyAlignment="1">
      <alignment vertical="center"/>
    </xf>
    <xf numFmtId="0" fontId="4" fillId="2" borderId="1" xfId="0" applyFont="1" applyFill="1" applyBorder="1" applyAlignment="1">
      <alignment horizontal="center" vertical="center"/>
    </xf>
    <xf numFmtId="0" fontId="0" fillId="0" borderId="0" xfId="0" pivotButton="1"/>
    <xf numFmtId="0" fontId="0" fillId="0" borderId="0" xfId="0" applyAlignment="1">
      <alignment horizontal="left"/>
    </xf>
    <xf numFmtId="4" fontId="0" fillId="0" borderId="0" xfId="0" applyNumberFormat="1"/>
    <xf numFmtId="0" fontId="0" fillId="7" borderId="0" xfId="0" applyFill="1"/>
    <xf numFmtId="0" fontId="0" fillId="8" borderId="0" xfId="0" applyFill="1"/>
    <xf numFmtId="0" fontId="0" fillId="9" borderId="0" xfId="0" applyFill="1"/>
    <xf numFmtId="0" fontId="1" fillId="0" borderId="0" xfId="0" applyFont="1"/>
    <xf numFmtId="0" fontId="5" fillId="7" borderId="0" xfId="0" applyFont="1" applyFill="1"/>
    <xf numFmtId="0" fontId="6" fillId="9" borderId="0" xfId="0" applyFont="1" applyFill="1"/>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7" fillId="0" borderId="0" xfId="0" applyFont="1" applyAlignment="1">
      <alignment vertical="center"/>
    </xf>
    <xf numFmtId="0" fontId="13" fillId="10" borderId="2" xfId="0" applyFont="1" applyFill="1" applyBorder="1" applyAlignment="1">
      <alignment vertical="center" wrapText="1"/>
    </xf>
    <xf numFmtId="0" fontId="13" fillId="10" borderId="3" xfId="0" applyFont="1" applyFill="1" applyBorder="1" applyAlignment="1">
      <alignment vertical="center" wrapText="1"/>
    </xf>
    <xf numFmtId="17" fontId="14" fillId="0" borderId="4" xfId="0" applyNumberFormat="1" applyFont="1" applyBorder="1" applyAlignment="1">
      <alignment vertical="center" wrapText="1"/>
    </xf>
    <xf numFmtId="3" fontId="14" fillId="0" borderId="5" xfId="0" applyNumberFormat="1" applyFont="1" applyBorder="1" applyAlignment="1">
      <alignment vertical="center" wrapText="1"/>
    </xf>
    <xf numFmtId="17" fontId="15" fillId="11" borderId="4" xfId="0" applyNumberFormat="1" applyFont="1" applyFill="1" applyBorder="1" applyAlignment="1">
      <alignment vertical="center" wrapText="1"/>
    </xf>
    <xf numFmtId="3" fontId="15" fillId="11" borderId="5" xfId="0" applyNumberFormat="1" applyFont="1" applyFill="1" applyBorder="1" applyAlignment="1">
      <alignment vertical="center" wrapText="1"/>
    </xf>
    <xf numFmtId="0" fontId="14" fillId="0" borderId="4" xfId="0" applyFont="1" applyBorder="1" applyAlignment="1">
      <alignment vertical="center" wrapText="1"/>
    </xf>
    <xf numFmtId="10" fontId="14" fillId="0" borderId="5" xfId="0" applyNumberFormat="1" applyFont="1" applyBorder="1" applyAlignment="1">
      <alignment vertical="center" wrapText="1"/>
    </xf>
    <xf numFmtId="0" fontId="15" fillId="11" borderId="4" xfId="0" applyFont="1" applyFill="1" applyBorder="1" applyAlignment="1">
      <alignment vertical="center" wrapText="1"/>
    </xf>
    <xf numFmtId="10" fontId="15" fillId="11" borderId="5" xfId="0" applyNumberFormat="1" applyFont="1" applyFill="1" applyBorder="1" applyAlignment="1">
      <alignment vertical="center" wrapText="1"/>
    </xf>
    <xf numFmtId="0" fontId="8" fillId="0" borderId="0" xfId="0" applyFont="1" applyAlignment="1">
      <alignment vertical="center"/>
    </xf>
    <xf numFmtId="9" fontId="14" fillId="0" borderId="5" xfId="0" applyNumberFormat="1" applyFont="1" applyBorder="1" applyAlignment="1">
      <alignment vertical="center" wrapText="1"/>
    </xf>
    <xf numFmtId="9" fontId="15" fillId="11" borderId="5" xfId="0" applyNumberFormat="1" applyFont="1" applyFill="1" applyBorder="1" applyAlignment="1">
      <alignment vertical="center" wrapText="1"/>
    </xf>
    <xf numFmtId="0" fontId="16" fillId="0" borderId="0" xfId="0" applyFont="1" applyAlignment="1">
      <alignment vertical="center"/>
    </xf>
    <xf numFmtId="0" fontId="17" fillId="0" borderId="0" xfId="0" applyFont="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36363"/>
      <rgbColor rgb="FF800080"/>
      <rgbColor rgb="FF008080"/>
      <rgbColor rgb="FFD9D9D9"/>
      <rgbColor rgb="FF878787"/>
      <rgbColor rgb="FF9999FF"/>
      <rgbColor rgb="FFBE4B48"/>
      <rgbColor rgb="FFF9F9F9"/>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4CCCC"/>
      <rgbColor rgb="FF4F81BD"/>
      <rgbColor rgb="FF33CCCC"/>
      <rgbColor rgb="FF99CC00"/>
      <rgbColor rgb="FFFFCC00"/>
      <rgbColor rgb="FFFF9900"/>
      <rgbColor rgb="FFFF6600"/>
      <rgbColor rgb="FF666666"/>
      <rgbColor rgb="FF969696"/>
      <rgbColor rgb="FF003366"/>
      <rgbColor rgb="FF339966"/>
      <rgbColor rgb="FF003300"/>
      <rgbColor rgb="FF333300"/>
      <rgbColor rgb="FF993300"/>
      <rgbColor rgb="FFC0504D"/>
      <rgbColor rgb="FF1F4E78"/>
      <rgbColor rgb="FF333333"/>
      <rgbColor rgb="00003366"/>
      <rgbColor rgb="00339966"/>
      <rgbColor rgb="00003300"/>
      <rgbColor rgb="00333300"/>
      <rgbColor rgb="00993300"/>
      <rgbColor rgb="00993366"/>
      <rgbColor rgb="00333399"/>
      <rgbColor rgb="00333333"/>
    </indexed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[food_trend_dashboard_2024_2025.xlsx]PIVOT_TABLE!PivotTable1</c:name>
    <c:fmtId val="19"/>
  </c:pivotSource>
  <c:chart>
    <c:title>
      <c:tx>
        <c:rich>
          <a:bodyPr rot="0" spcFirstLastPara="1" vertOverflow="ellipsis" vert="horz" wrap="square" anchor="ctr" anchorCtr="1"/>
          <a:lstStyle/>
          <a:p>
            <a:pPr>
              <a:defRPr sz="1800" b="0" i="0" u="none" strike="noStrike" kern="1200" spc="0" baseline="0">
                <a:solidFill>
                  <a:schemeClr val="bg1"/>
                </a:solidFill>
                <a:latin typeface="Arial Black" panose="020B0A04020102020204" pitchFamily="34" charset="0"/>
                <a:ea typeface="+mn-ea"/>
                <a:cs typeface="+mn-cs"/>
              </a:defRPr>
            </a:pPr>
            <a:r>
              <a:rPr lang="en-US" sz="1800">
                <a:solidFill>
                  <a:schemeClr val="bg1"/>
                </a:solidFill>
                <a:latin typeface="Arial Black" panose="020B0A04020102020204" pitchFamily="34" charset="0"/>
              </a:rPr>
              <a:t>PRICE TRENDS BY ITEMS</a:t>
            </a:r>
          </a:p>
        </c:rich>
      </c:tx>
      <c:layout>
        <c:manualLayout>
          <c:xMode val="edge"/>
          <c:yMode val="edge"/>
          <c:x val="0.33980746089049341"/>
          <c:y val="8.881551096435526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PIVOT_TABLE!$B$3:$B$4</c:f>
              <c:strCache>
                <c:ptCount val="1"/>
                <c:pt idx="0">
                  <c:v>Apr-2025</c:v>
                </c:pt>
              </c:strCache>
            </c:strRef>
          </c:tx>
          <c:spPr>
            <a:ln w="28575" cap="rnd">
              <a:solidFill>
                <a:schemeClr val="accent1"/>
              </a:solidFill>
              <a:round/>
            </a:ln>
            <a:effectLst/>
          </c:spPr>
          <c:marker>
            <c:symbol val="none"/>
          </c:marker>
          <c:cat>
            <c:strRef>
              <c:f>PIVOT_TABLE!$A$5:$A$57</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PIVOT_TABLE!$B$5:$B$57</c:f>
              <c:numCache>
                <c:formatCode>#,##0.00</c:formatCode>
                <c:ptCount val="52"/>
                <c:pt idx="0">
                  <c:v>259.31615245998501</c:v>
                </c:pt>
                <c:pt idx="1">
                  <c:v>6150.1780720720699</c:v>
                </c:pt>
                <c:pt idx="2">
                  <c:v>2429.3885720073299</c:v>
                </c:pt>
                <c:pt idx="3">
                  <c:v>2097.3099314450801</c:v>
                </c:pt>
                <c:pt idx="5">
                  <c:v>6544.5368584491798</c:v>
                </c:pt>
                <c:pt idx="6">
                  <c:v>1688.39984573376</c:v>
                </c:pt>
                <c:pt idx="7">
                  <c:v>1547.5179018418</c:v>
                </c:pt>
                <c:pt idx="8">
                  <c:v>1931.31785704035</c:v>
                </c:pt>
                <c:pt idx="9">
                  <c:v>5572.49342258056</c:v>
                </c:pt>
                <c:pt idx="12">
                  <c:v>3502.69704413096</c:v>
                </c:pt>
                <c:pt idx="13">
                  <c:v>5740.1492438265304</c:v>
                </c:pt>
                <c:pt idx="14">
                  <c:v>4771.9236733382304</c:v>
                </c:pt>
                <c:pt idx="15">
                  <c:v>6655.6615288069197</c:v>
                </c:pt>
                <c:pt idx="17">
                  <c:v>6657.7427764140602</c:v>
                </c:pt>
                <c:pt idx="18">
                  <c:v>1345.0978505149001</c:v>
                </c:pt>
                <c:pt idx="19">
                  <c:v>1422.33984770236</c:v>
                </c:pt>
                <c:pt idx="20">
                  <c:v>4970.65884257568</c:v>
                </c:pt>
                <c:pt idx="21">
                  <c:v>6708.4527520461797</c:v>
                </c:pt>
                <c:pt idx="22">
                  <c:v>3250.3191343826402</c:v>
                </c:pt>
                <c:pt idx="23">
                  <c:v>2545.7164478089499</c:v>
                </c:pt>
                <c:pt idx="25">
                  <c:v>1948.6077123661701</c:v>
                </c:pt>
                <c:pt idx="26">
                  <c:v>2517.8856093511199</c:v>
                </c:pt>
                <c:pt idx="27">
                  <c:v>5417.3963473999602</c:v>
                </c:pt>
                <c:pt idx="28">
                  <c:v>1239.609660498</c:v>
                </c:pt>
                <c:pt idx="32">
                  <c:v>1503.5644918098701</c:v>
                </c:pt>
                <c:pt idx="33">
                  <c:v>2516.3571664481101</c:v>
                </c:pt>
                <c:pt idx="34">
                  <c:v>2057.3966196227698</c:v>
                </c:pt>
                <c:pt idx="35">
                  <c:v>2231.8082619367001</c:v>
                </c:pt>
                <c:pt idx="37">
                  <c:v>2144.0498599702601</c:v>
                </c:pt>
                <c:pt idx="38">
                  <c:v>2574.11484187629</c:v>
                </c:pt>
                <c:pt idx="40">
                  <c:v>2257.19816002057</c:v>
                </c:pt>
                <c:pt idx="41">
                  <c:v>5920.8372821896501</c:v>
                </c:pt>
                <c:pt idx="42">
                  <c:v>938.42378465177205</c:v>
                </c:pt>
                <c:pt idx="43">
                  <c:v>5489.2820246853198</c:v>
                </c:pt>
                <c:pt idx="44">
                  <c:v>994.19173616473597</c:v>
                </c:pt>
                <c:pt idx="45">
                  <c:v>888.91036973350299</c:v>
                </c:pt>
                <c:pt idx="46">
                  <c:v>5939.2872886936802</c:v>
                </c:pt>
                <c:pt idx="47">
                  <c:v>1283.5712136417701</c:v>
                </c:pt>
                <c:pt idx="48">
                  <c:v>3374.8094323292298</c:v>
                </c:pt>
                <c:pt idx="49">
                  <c:v>2057.3488049013399</c:v>
                </c:pt>
                <c:pt idx="50">
                  <c:v>4166.5681996130497</c:v>
                </c:pt>
                <c:pt idx="51">
                  <c:v>2240.0837774352499</c:v>
                </c:pt>
              </c:numCache>
            </c:numRef>
          </c:val>
          <c:smooth val="0"/>
          <c:extLst>
            <c:ext xmlns:c16="http://schemas.microsoft.com/office/drawing/2014/chart" uri="{C3380CC4-5D6E-409C-BE32-E72D297353CC}">
              <c16:uniqueId val="{00000000-3587-4BA9-875C-9870E63625BC}"/>
            </c:ext>
          </c:extLst>
        </c:ser>
        <c:ser>
          <c:idx val="1"/>
          <c:order val="1"/>
          <c:tx>
            <c:strRef>
              <c:f>PIVOT_TABLE!$C$3:$C$4</c:f>
              <c:strCache>
                <c:ptCount val="1"/>
                <c:pt idx="0">
                  <c:v>Dec-2024</c:v>
                </c:pt>
              </c:strCache>
            </c:strRef>
          </c:tx>
          <c:spPr>
            <a:ln w="28575" cap="rnd">
              <a:solidFill>
                <a:schemeClr val="accent2"/>
              </a:solidFill>
              <a:round/>
            </a:ln>
            <a:effectLst/>
          </c:spPr>
          <c:marker>
            <c:symbol val="none"/>
          </c:marker>
          <c:cat>
            <c:strRef>
              <c:f>PIVOT_TABLE!$A$5:$A$57</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PIVOT_TABLE!$C$5:$C$57</c:f>
              <c:numCache>
                <c:formatCode>#,##0.00</c:formatCode>
                <c:ptCount val="52"/>
                <c:pt idx="0">
                  <c:v>252.16549790250099</c:v>
                </c:pt>
                <c:pt idx="1">
                  <c:v>2866.9150988280699</c:v>
                </c:pt>
                <c:pt idx="2">
                  <c:v>2501.3235254572801</c:v>
                </c:pt>
                <c:pt idx="3">
                  <c:v>2319.0422043194098</c:v>
                </c:pt>
                <c:pt idx="4">
                  <c:v>5153.1848804249303</c:v>
                </c:pt>
                <c:pt idx="5">
                  <c:v>6150.1828826503897</c:v>
                </c:pt>
                <c:pt idx="6">
                  <c:v>1610.8261641694201</c:v>
                </c:pt>
                <c:pt idx="7">
                  <c:v>1512.1275136475199</c:v>
                </c:pt>
                <c:pt idx="9">
                  <c:v>4347.44455117503</c:v>
                </c:pt>
                <c:pt idx="10">
                  <c:v>6044.0788060269097</c:v>
                </c:pt>
                <c:pt idx="11">
                  <c:v>4475.0963655916903</c:v>
                </c:pt>
                <c:pt idx="12">
                  <c:v>3397.83335015904</c:v>
                </c:pt>
                <c:pt idx="13">
                  <c:v>6473.80641713777</c:v>
                </c:pt>
                <c:pt idx="14">
                  <c:v>4422.8021562329404</c:v>
                </c:pt>
                <c:pt idx="16">
                  <c:v>4908.4226209077997</c:v>
                </c:pt>
                <c:pt idx="18">
                  <c:v>1184.7661828727901</c:v>
                </c:pt>
                <c:pt idx="19">
                  <c:v>1296.9267315173299</c:v>
                </c:pt>
                <c:pt idx="22">
                  <c:v>3328.1693203786999</c:v>
                </c:pt>
                <c:pt idx="24">
                  <c:v>4014.2349042126002</c:v>
                </c:pt>
                <c:pt idx="25">
                  <c:v>1818.2876324441499</c:v>
                </c:pt>
                <c:pt idx="26">
                  <c:v>2512.32651705328</c:v>
                </c:pt>
                <c:pt idx="27">
                  <c:v>4287.6540179701396</c:v>
                </c:pt>
                <c:pt idx="28">
                  <c:v>1151.13471287571</c:v>
                </c:pt>
                <c:pt idx="29">
                  <c:v>1160.21514057117</c:v>
                </c:pt>
                <c:pt idx="30">
                  <c:v>4166.67611915425</c:v>
                </c:pt>
                <c:pt idx="31">
                  <c:v>5632.3370938083499</c:v>
                </c:pt>
                <c:pt idx="32">
                  <c:v>2057.8108721538001</c:v>
                </c:pt>
                <c:pt idx="33">
                  <c:v>2582.3479986950401</c:v>
                </c:pt>
                <c:pt idx="34">
                  <c:v>1533.6809681028701</c:v>
                </c:pt>
                <c:pt idx="35">
                  <c:v>1550.1513842884699</c:v>
                </c:pt>
                <c:pt idx="36">
                  <c:v>2037.30324925339</c:v>
                </c:pt>
                <c:pt idx="37">
                  <c:v>1944.40389945518</c:v>
                </c:pt>
                <c:pt idx="38">
                  <c:v>2520.7757247703398</c:v>
                </c:pt>
                <c:pt idx="39">
                  <c:v>2092.3905788274701</c:v>
                </c:pt>
                <c:pt idx="42">
                  <c:v>930.78900812666495</c:v>
                </c:pt>
                <c:pt idx="43">
                  <c:v>4106.7161954740204</c:v>
                </c:pt>
                <c:pt idx="44">
                  <c:v>1014.7414650661</c:v>
                </c:pt>
                <c:pt idx="45">
                  <c:v>887.45091137505199</c:v>
                </c:pt>
                <c:pt idx="46">
                  <c:v>4725.1654426294299</c:v>
                </c:pt>
                <c:pt idx="47">
                  <c:v>1453.4956678575099</c:v>
                </c:pt>
                <c:pt idx="48">
                  <c:v>3362.8340562642102</c:v>
                </c:pt>
                <c:pt idx="50">
                  <c:v>3871.4754362969402</c:v>
                </c:pt>
                <c:pt idx="51">
                  <c:v>1905.90097860793</c:v>
                </c:pt>
              </c:numCache>
            </c:numRef>
          </c:val>
          <c:smooth val="0"/>
          <c:extLst>
            <c:ext xmlns:c16="http://schemas.microsoft.com/office/drawing/2014/chart" uri="{C3380CC4-5D6E-409C-BE32-E72D297353CC}">
              <c16:uniqueId val="{0000000F-3587-4BA9-875C-9870E63625BC}"/>
            </c:ext>
          </c:extLst>
        </c:ser>
        <c:ser>
          <c:idx val="2"/>
          <c:order val="2"/>
          <c:tx>
            <c:strRef>
              <c:f>PIVOT_TABLE!$D$3:$D$4</c:f>
              <c:strCache>
                <c:ptCount val="1"/>
                <c:pt idx="0">
                  <c:v>Feb-2025</c:v>
                </c:pt>
              </c:strCache>
            </c:strRef>
          </c:tx>
          <c:spPr>
            <a:ln w="28575" cap="rnd">
              <a:solidFill>
                <a:schemeClr val="accent3"/>
              </a:solidFill>
              <a:round/>
            </a:ln>
            <a:effectLst/>
          </c:spPr>
          <c:marker>
            <c:symbol val="none"/>
          </c:marker>
          <c:cat>
            <c:strRef>
              <c:f>PIVOT_TABLE!$A$5:$A$57</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PIVOT_TABLE!$D$5:$D$57</c:f>
              <c:numCache>
                <c:formatCode>#,##0.00</c:formatCode>
                <c:ptCount val="52"/>
                <c:pt idx="0">
                  <c:v>251.94051654054101</c:v>
                </c:pt>
                <c:pt idx="1">
                  <c:v>5976.1158515450497</c:v>
                </c:pt>
                <c:pt idx="2">
                  <c:v>2465.9627716485402</c:v>
                </c:pt>
                <c:pt idx="3">
                  <c:v>2114.3292357077398</c:v>
                </c:pt>
                <c:pt idx="5">
                  <c:v>6269.45881945785</c:v>
                </c:pt>
                <c:pt idx="6">
                  <c:v>1633.18538583033</c:v>
                </c:pt>
                <c:pt idx="7">
                  <c:v>1497.4271531464999</c:v>
                </c:pt>
                <c:pt idx="8">
                  <c:v>1838.5928269118201</c:v>
                </c:pt>
                <c:pt idx="9">
                  <c:v>5284.3595413749999</c:v>
                </c:pt>
                <c:pt idx="12">
                  <c:v>3346.6242356636099</c:v>
                </c:pt>
                <c:pt idx="13">
                  <c:v>5552.7027027026998</c:v>
                </c:pt>
                <c:pt idx="14">
                  <c:v>4394.4053790468497</c:v>
                </c:pt>
                <c:pt idx="15">
                  <c:v>6440.4410828017999</c:v>
                </c:pt>
                <c:pt idx="17">
                  <c:v>6160.0213093243201</c:v>
                </c:pt>
                <c:pt idx="18">
                  <c:v>1277.24707039035</c:v>
                </c:pt>
                <c:pt idx="19">
                  <c:v>1378.1547063621399</c:v>
                </c:pt>
                <c:pt idx="20">
                  <c:v>4371.8969465991004</c:v>
                </c:pt>
                <c:pt idx="21">
                  <c:v>6298.8933956085602</c:v>
                </c:pt>
                <c:pt idx="22">
                  <c:v>3039.8294761126099</c:v>
                </c:pt>
                <c:pt idx="23">
                  <c:v>2392.4710545135099</c:v>
                </c:pt>
                <c:pt idx="25">
                  <c:v>1756.40726696976</c:v>
                </c:pt>
                <c:pt idx="26">
                  <c:v>2564.95182040297</c:v>
                </c:pt>
                <c:pt idx="27">
                  <c:v>5233.1514442468497</c:v>
                </c:pt>
                <c:pt idx="28">
                  <c:v>1169.3210112602201</c:v>
                </c:pt>
                <c:pt idx="32">
                  <c:v>1372.0419025966901</c:v>
                </c:pt>
                <c:pt idx="33">
                  <c:v>2384.1511140866301</c:v>
                </c:pt>
                <c:pt idx="34">
                  <c:v>1914.4990136459401</c:v>
                </c:pt>
                <c:pt idx="35">
                  <c:v>2127.6712684252502</c:v>
                </c:pt>
                <c:pt idx="37">
                  <c:v>2088.8216830603901</c:v>
                </c:pt>
                <c:pt idx="38">
                  <c:v>2565.0914537854501</c:v>
                </c:pt>
                <c:pt idx="40">
                  <c:v>2089.7943657252299</c:v>
                </c:pt>
                <c:pt idx="41">
                  <c:v>5458.01897597883</c:v>
                </c:pt>
                <c:pt idx="42">
                  <c:v>823.29869998066295</c:v>
                </c:pt>
                <c:pt idx="43">
                  <c:v>5103.9420286918903</c:v>
                </c:pt>
                <c:pt idx="44">
                  <c:v>931.03473383633604</c:v>
                </c:pt>
                <c:pt idx="45">
                  <c:v>827.31484440540498</c:v>
                </c:pt>
                <c:pt idx="46">
                  <c:v>5564.28907556592</c:v>
                </c:pt>
                <c:pt idx="47">
                  <c:v>1111.1395879256399</c:v>
                </c:pt>
                <c:pt idx="48">
                  <c:v>3090.5103853288301</c:v>
                </c:pt>
                <c:pt idx="49">
                  <c:v>1926.20411932915</c:v>
                </c:pt>
                <c:pt idx="50">
                  <c:v>3890.8029976448402</c:v>
                </c:pt>
                <c:pt idx="51">
                  <c:v>2022.0329125304399</c:v>
                </c:pt>
              </c:numCache>
            </c:numRef>
          </c:val>
          <c:smooth val="0"/>
          <c:extLst>
            <c:ext xmlns:c16="http://schemas.microsoft.com/office/drawing/2014/chart" uri="{C3380CC4-5D6E-409C-BE32-E72D297353CC}">
              <c16:uniqueId val="{00000014-3587-4BA9-875C-9870E63625BC}"/>
            </c:ext>
          </c:extLst>
        </c:ser>
        <c:ser>
          <c:idx val="3"/>
          <c:order val="3"/>
          <c:tx>
            <c:strRef>
              <c:f>PIVOT_TABLE!$E$3:$E$4</c:f>
              <c:strCache>
                <c:ptCount val="1"/>
                <c:pt idx="0">
                  <c:v>Jan-2025</c:v>
                </c:pt>
              </c:strCache>
            </c:strRef>
          </c:tx>
          <c:spPr>
            <a:ln w="28575" cap="rnd">
              <a:solidFill>
                <a:schemeClr val="accent4"/>
              </a:solidFill>
              <a:round/>
            </a:ln>
            <a:effectLst/>
          </c:spPr>
          <c:marker>
            <c:symbol val="none"/>
          </c:marker>
          <c:cat>
            <c:strRef>
              <c:f>PIVOT_TABLE!$A$5:$A$57</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PIVOT_TABLE!$E$5:$E$57</c:f>
              <c:numCache>
                <c:formatCode>#,##0.00</c:formatCode>
                <c:ptCount val="52"/>
                <c:pt idx="0">
                  <c:v>248.04139052252299</c:v>
                </c:pt>
                <c:pt idx="1">
                  <c:v>5878.1406466216204</c:v>
                </c:pt>
                <c:pt idx="2">
                  <c:v>2458.53328829572</c:v>
                </c:pt>
                <c:pt idx="3">
                  <c:v>2123.8529942048899</c:v>
                </c:pt>
                <c:pt idx="5">
                  <c:v>6122.5682943123202</c:v>
                </c:pt>
                <c:pt idx="6">
                  <c:v>1604.7842497597601</c:v>
                </c:pt>
                <c:pt idx="7">
                  <c:v>1452.9829733163899</c:v>
                </c:pt>
                <c:pt idx="8">
                  <c:v>1787.16145133333</c:v>
                </c:pt>
                <c:pt idx="9">
                  <c:v>5226.8705778404701</c:v>
                </c:pt>
                <c:pt idx="12">
                  <c:v>3293.6295746176602</c:v>
                </c:pt>
                <c:pt idx="13">
                  <c:v>5497.0311353705501</c:v>
                </c:pt>
                <c:pt idx="14">
                  <c:v>4340.1077806622197</c:v>
                </c:pt>
                <c:pt idx="15">
                  <c:v>6227.0407199211704</c:v>
                </c:pt>
                <c:pt idx="17">
                  <c:v>6131.9801153648596</c:v>
                </c:pt>
                <c:pt idx="18">
                  <c:v>1267.6348809931201</c:v>
                </c:pt>
                <c:pt idx="19">
                  <c:v>1358.95841842142</c:v>
                </c:pt>
                <c:pt idx="20">
                  <c:v>4206.7995489414398</c:v>
                </c:pt>
                <c:pt idx="21">
                  <c:v>6202.3575047263503</c:v>
                </c:pt>
                <c:pt idx="22">
                  <c:v>2939.7346322297299</c:v>
                </c:pt>
                <c:pt idx="23">
                  <c:v>2387.7568033521402</c:v>
                </c:pt>
                <c:pt idx="25">
                  <c:v>1790.91087652799</c:v>
                </c:pt>
                <c:pt idx="26">
                  <c:v>2508.1549602219002</c:v>
                </c:pt>
                <c:pt idx="27">
                  <c:v>5117.8059351929396</c:v>
                </c:pt>
                <c:pt idx="28">
                  <c:v>1168.3379724972699</c:v>
                </c:pt>
                <c:pt idx="32">
                  <c:v>1367.6215629373401</c:v>
                </c:pt>
                <c:pt idx="33">
                  <c:v>2329.5428046950301</c:v>
                </c:pt>
                <c:pt idx="34">
                  <c:v>1876.0258662337501</c:v>
                </c:pt>
                <c:pt idx="35">
                  <c:v>2119.0689292685602</c:v>
                </c:pt>
                <c:pt idx="37">
                  <c:v>2067.99782298932</c:v>
                </c:pt>
                <c:pt idx="38">
                  <c:v>2505.47939908644</c:v>
                </c:pt>
                <c:pt idx="40">
                  <c:v>2072.0011794684701</c:v>
                </c:pt>
                <c:pt idx="41">
                  <c:v>5407.6326790166704</c:v>
                </c:pt>
                <c:pt idx="42">
                  <c:v>852.51531154864904</c:v>
                </c:pt>
                <c:pt idx="43">
                  <c:v>5065.3631911843804</c:v>
                </c:pt>
                <c:pt idx="44">
                  <c:v>928.00162815407703</c:v>
                </c:pt>
                <c:pt idx="45">
                  <c:v>837.23255124624598</c:v>
                </c:pt>
                <c:pt idx="46">
                  <c:v>5467.23134462281</c:v>
                </c:pt>
                <c:pt idx="47">
                  <c:v>1081.43913597703</c:v>
                </c:pt>
                <c:pt idx="48">
                  <c:v>2975.9619234909901</c:v>
                </c:pt>
                <c:pt idx="49">
                  <c:v>1850.8432699560799</c:v>
                </c:pt>
                <c:pt idx="50">
                  <c:v>3847.3656922479099</c:v>
                </c:pt>
                <c:pt idx="51">
                  <c:v>1991.3299394697301</c:v>
                </c:pt>
              </c:numCache>
            </c:numRef>
          </c:val>
          <c:smooth val="0"/>
          <c:extLst>
            <c:ext xmlns:c16="http://schemas.microsoft.com/office/drawing/2014/chart" uri="{C3380CC4-5D6E-409C-BE32-E72D297353CC}">
              <c16:uniqueId val="{00000015-3587-4BA9-875C-9870E63625BC}"/>
            </c:ext>
          </c:extLst>
        </c:ser>
        <c:ser>
          <c:idx val="4"/>
          <c:order val="4"/>
          <c:tx>
            <c:strRef>
              <c:f>PIVOT_TABLE!$F$3:$F$4</c:f>
              <c:strCache>
                <c:ptCount val="1"/>
                <c:pt idx="0">
                  <c:v>Mar-2025</c:v>
                </c:pt>
              </c:strCache>
            </c:strRef>
          </c:tx>
          <c:spPr>
            <a:ln w="28575" cap="rnd">
              <a:solidFill>
                <a:schemeClr val="accent5"/>
              </a:solidFill>
              <a:round/>
            </a:ln>
            <a:effectLst/>
          </c:spPr>
          <c:marker>
            <c:symbol val="none"/>
          </c:marker>
          <c:cat>
            <c:strRef>
              <c:f>PIVOT_TABLE!$A$5:$A$57</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PIVOT_TABLE!$F$5:$F$57</c:f>
              <c:numCache>
                <c:formatCode>#,##0.00</c:formatCode>
                <c:ptCount val="52"/>
                <c:pt idx="0">
                  <c:v>261.18234628675702</c:v>
                </c:pt>
                <c:pt idx="1">
                  <c:v>7670.5591900852696</c:v>
                </c:pt>
                <c:pt idx="2">
                  <c:v>2616.2636109231798</c:v>
                </c:pt>
                <c:pt idx="3">
                  <c:v>2215.1070570947099</c:v>
                </c:pt>
                <c:pt idx="5">
                  <c:v>6523.5009907142503</c:v>
                </c:pt>
                <c:pt idx="6">
                  <c:v>1680.17469739189</c:v>
                </c:pt>
                <c:pt idx="7">
                  <c:v>1561.2438133998</c:v>
                </c:pt>
                <c:pt idx="8">
                  <c:v>1947.04973768073</c:v>
                </c:pt>
                <c:pt idx="9">
                  <c:v>5507.1099405631503</c:v>
                </c:pt>
                <c:pt idx="12">
                  <c:v>3487.0587798892602</c:v>
                </c:pt>
                <c:pt idx="13">
                  <c:v>5675.6756756756804</c:v>
                </c:pt>
                <c:pt idx="14">
                  <c:v>4671.3133143490404</c:v>
                </c:pt>
                <c:pt idx="15">
                  <c:v>6657.0025353562396</c:v>
                </c:pt>
                <c:pt idx="17">
                  <c:v>6493.7843284955397</c:v>
                </c:pt>
                <c:pt idx="18">
                  <c:v>1362.95931475153</c:v>
                </c:pt>
                <c:pt idx="19">
                  <c:v>1456.65126496469</c:v>
                </c:pt>
                <c:pt idx="20">
                  <c:v>4600.2308180510399</c:v>
                </c:pt>
                <c:pt idx="21">
                  <c:v>6892.4622955468003</c:v>
                </c:pt>
                <c:pt idx="22">
                  <c:v>3218.8178332615498</c:v>
                </c:pt>
                <c:pt idx="23">
                  <c:v>2487.6765241773001</c:v>
                </c:pt>
                <c:pt idx="25">
                  <c:v>1881.7562755561701</c:v>
                </c:pt>
                <c:pt idx="26">
                  <c:v>2671.7289628642802</c:v>
                </c:pt>
                <c:pt idx="27">
                  <c:v>5482.6327859487901</c:v>
                </c:pt>
                <c:pt idx="28">
                  <c:v>1278.7595198008501</c:v>
                </c:pt>
                <c:pt idx="32">
                  <c:v>1434.8498267248599</c:v>
                </c:pt>
                <c:pt idx="33">
                  <c:v>2511.7729143043798</c:v>
                </c:pt>
                <c:pt idx="34">
                  <c:v>2002.5841717773301</c:v>
                </c:pt>
                <c:pt idx="35">
                  <c:v>2214.5652797776602</c:v>
                </c:pt>
                <c:pt idx="37">
                  <c:v>2242.63821870628</c:v>
                </c:pt>
                <c:pt idx="38">
                  <c:v>2679.5060014625401</c:v>
                </c:pt>
                <c:pt idx="40">
                  <c:v>2173.1178654254099</c:v>
                </c:pt>
                <c:pt idx="41">
                  <c:v>5752.7551214759096</c:v>
                </c:pt>
                <c:pt idx="42">
                  <c:v>909.88487977933903</c:v>
                </c:pt>
                <c:pt idx="43">
                  <c:v>5459.0421429298303</c:v>
                </c:pt>
                <c:pt idx="44">
                  <c:v>999.17967446513501</c:v>
                </c:pt>
                <c:pt idx="45">
                  <c:v>872.13527080810798</c:v>
                </c:pt>
                <c:pt idx="46">
                  <c:v>5860.0071237336497</c:v>
                </c:pt>
                <c:pt idx="47">
                  <c:v>1157.34571869108</c:v>
                </c:pt>
                <c:pt idx="48">
                  <c:v>3337.0082982445902</c:v>
                </c:pt>
                <c:pt idx="49">
                  <c:v>2040.81873295581</c:v>
                </c:pt>
                <c:pt idx="50">
                  <c:v>4114.2425360704501</c:v>
                </c:pt>
                <c:pt idx="51">
                  <c:v>2141.1300356787601</c:v>
                </c:pt>
              </c:numCache>
            </c:numRef>
          </c:val>
          <c:smooth val="0"/>
          <c:extLst>
            <c:ext xmlns:c16="http://schemas.microsoft.com/office/drawing/2014/chart" uri="{C3380CC4-5D6E-409C-BE32-E72D297353CC}">
              <c16:uniqueId val="{00000016-3587-4BA9-875C-9870E63625BC}"/>
            </c:ext>
          </c:extLst>
        </c:ser>
        <c:ser>
          <c:idx val="5"/>
          <c:order val="5"/>
          <c:tx>
            <c:strRef>
              <c:f>PIVOT_TABLE!$G$3:$G$4</c:f>
              <c:strCache>
                <c:ptCount val="1"/>
                <c:pt idx="0">
                  <c:v>Nov-2024</c:v>
                </c:pt>
              </c:strCache>
            </c:strRef>
          </c:tx>
          <c:spPr>
            <a:ln w="28575" cap="rnd">
              <a:solidFill>
                <a:schemeClr val="accent6"/>
              </a:solidFill>
              <a:round/>
            </a:ln>
            <a:effectLst/>
          </c:spPr>
          <c:marker>
            <c:symbol val="none"/>
          </c:marker>
          <c:cat>
            <c:strRef>
              <c:f>PIVOT_TABLE!$A$5:$A$57</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PIVOT_TABLE!$G$5:$G$57</c:f>
              <c:numCache>
                <c:formatCode>#,##0.00</c:formatCode>
                <c:ptCount val="52"/>
                <c:pt idx="0">
                  <c:v>247.25909993431799</c:v>
                </c:pt>
                <c:pt idx="1">
                  <c:v>2833.9730241430798</c:v>
                </c:pt>
                <c:pt idx="2">
                  <c:v>2720.9608418325502</c:v>
                </c:pt>
                <c:pt idx="3">
                  <c:v>2546.70254553512</c:v>
                </c:pt>
                <c:pt idx="4">
                  <c:v>5073.7358123538697</c:v>
                </c:pt>
                <c:pt idx="5">
                  <c:v>6001.3163065393601</c:v>
                </c:pt>
                <c:pt idx="6">
                  <c:v>1588.02666383821</c:v>
                </c:pt>
                <c:pt idx="7">
                  <c:v>1486.2466029906</c:v>
                </c:pt>
                <c:pt idx="9">
                  <c:v>4259.9869529958096</c:v>
                </c:pt>
                <c:pt idx="10">
                  <c:v>5787.7444950687704</c:v>
                </c:pt>
                <c:pt idx="11">
                  <c:v>4352.7683447761101</c:v>
                </c:pt>
                <c:pt idx="12">
                  <c:v>3336.7032495405501</c:v>
                </c:pt>
                <c:pt idx="13">
                  <c:v>6130.51459408545</c:v>
                </c:pt>
                <c:pt idx="14">
                  <c:v>4316.4129177333898</c:v>
                </c:pt>
                <c:pt idx="16">
                  <c:v>4766.5638775357702</c:v>
                </c:pt>
                <c:pt idx="18">
                  <c:v>1205.3885873745801</c:v>
                </c:pt>
                <c:pt idx="19">
                  <c:v>1311.0286836146099</c:v>
                </c:pt>
                <c:pt idx="22">
                  <c:v>3165.3812084810802</c:v>
                </c:pt>
                <c:pt idx="24">
                  <c:v>3875.65894324077</c:v>
                </c:pt>
                <c:pt idx="25">
                  <c:v>1778.9604773569499</c:v>
                </c:pt>
                <c:pt idx="26">
                  <c:v>2485.13886536679</c:v>
                </c:pt>
                <c:pt idx="27">
                  <c:v>4203.7597581405698</c:v>
                </c:pt>
                <c:pt idx="28">
                  <c:v>1156.9086378729901</c:v>
                </c:pt>
                <c:pt idx="29">
                  <c:v>1163.2443098946301</c:v>
                </c:pt>
                <c:pt idx="30">
                  <c:v>4136.4786973755999</c:v>
                </c:pt>
                <c:pt idx="31">
                  <c:v>5345.9909023037198</c:v>
                </c:pt>
                <c:pt idx="32">
                  <c:v>1878.0015100273999</c:v>
                </c:pt>
                <c:pt idx="33">
                  <c:v>2466.7871367873599</c:v>
                </c:pt>
                <c:pt idx="34">
                  <c:v>1540.046406979</c:v>
                </c:pt>
                <c:pt idx="35">
                  <c:v>1566.20426620695</c:v>
                </c:pt>
                <c:pt idx="36">
                  <c:v>2042.3536770686101</c:v>
                </c:pt>
                <c:pt idx="37">
                  <c:v>1959.9827752788501</c:v>
                </c:pt>
                <c:pt idx="38">
                  <c:v>2489.1472970599498</c:v>
                </c:pt>
                <c:pt idx="39">
                  <c:v>2104.43470961504</c:v>
                </c:pt>
                <c:pt idx="42">
                  <c:v>942.23834413034206</c:v>
                </c:pt>
                <c:pt idx="43">
                  <c:v>4039.6252556423601</c:v>
                </c:pt>
                <c:pt idx="44">
                  <c:v>991.20399188409101</c:v>
                </c:pt>
                <c:pt idx="45">
                  <c:v>873.77102001760204</c:v>
                </c:pt>
                <c:pt idx="46">
                  <c:v>4626.8186758829997</c:v>
                </c:pt>
                <c:pt idx="47">
                  <c:v>1472.17604013204</c:v>
                </c:pt>
                <c:pt idx="48">
                  <c:v>3147.0488937671198</c:v>
                </c:pt>
                <c:pt idx="50">
                  <c:v>3819.3696006646201</c:v>
                </c:pt>
                <c:pt idx="51">
                  <c:v>1836.0085445683401</c:v>
                </c:pt>
              </c:numCache>
            </c:numRef>
          </c:val>
          <c:smooth val="0"/>
          <c:extLst>
            <c:ext xmlns:c16="http://schemas.microsoft.com/office/drawing/2014/chart" uri="{C3380CC4-5D6E-409C-BE32-E72D297353CC}">
              <c16:uniqueId val="{00000017-3587-4BA9-875C-9870E63625BC}"/>
            </c:ext>
          </c:extLst>
        </c:ser>
        <c:dLbls>
          <c:showLegendKey val="0"/>
          <c:showVal val="0"/>
          <c:showCatName val="0"/>
          <c:showSerName val="0"/>
          <c:showPercent val="0"/>
          <c:showBubbleSize val="0"/>
        </c:dLbls>
        <c:smooth val="0"/>
        <c:axId val="1721731728"/>
        <c:axId val="1721721168"/>
      </c:lineChart>
      <c:catAx>
        <c:axId val="172173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1721721168"/>
        <c:crosses val="autoZero"/>
        <c:auto val="1"/>
        <c:lblAlgn val="ctr"/>
        <c:lblOffset val="100"/>
        <c:noMultiLvlLbl val="0"/>
      </c:catAx>
      <c:valAx>
        <c:axId val="17217211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72173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[food_trend_dashboard_2024_2025.xlsx]PIVOT_TABLE!PivotTable2</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r>
              <a:rPr lang="en-US" sz="1400" b="0" i="0" u="none" strike="noStrike" baseline="0">
                <a:solidFill>
                  <a:schemeClr val="bg1"/>
                </a:solidFill>
                <a:effectLst/>
                <a:latin typeface="Arial Black" panose="020B0A04020102020204" pitchFamily="34" charset="0"/>
              </a:rPr>
              <a:t>MOM/YOY BY ITEMS</a:t>
            </a:r>
            <a:endParaRPr lang="en-US">
              <a:solidFill>
                <a:schemeClr val="bg1"/>
              </a:solidFill>
              <a:latin typeface="Arial Black" panose="020B0A04020102020204" pitchFamily="34" charset="0"/>
            </a:endParaRPr>
          </a:p>
        </c:rich>
      </c:tx>
      <c:overlay val="0"/>
      <c:spPr>
        <a:solidFill>
          <a:schemeClr val="accent6">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028240217706961E-2"/>
          <c:y val="0.15425753166723724"/>
          <c:w val="0.69569564960516894"/>
          <c:h val="0.65412539158411653"/>
        </c:manualLayout>
      </c:layout>
      <c:barChart>
        <c:barDir val="col"/>
        <c:grouping val="clustered"/>
        <c:varyColors val="0"/>
        <c:ser>
          <c:idx val="0"/>
          <c:order val="0"/>
          <c:tx>
            <c:strRef>
              <c:f>PIVOT_TABLE!$M$3:$M$5</c:f>
              <c:strCache>
                <c:ptCount val="1"/>
                <c:pt idx="0">
                  <c:v>Apr-2025 - Sum of MoM</c:v>
                </c:pt>
              </c:strCache>
            </c:strRef>
          </c:tx>
          <c:spPr>
            <a:solidFill>
              <a:schemeClr val="accent1"/>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PIVOT_TABLE!$M$6:$M$58</c:f>
              <c:numCache>
                <c:formatCode>General</c:formatCode>
                <c:ptCount val="52"/>
                <c:pt idx="0">
                  <c:v>-0.71451759787888602</c:v>
                </c:pt>
                <c:pt idx="1">
                  <c:v>-19.820994536857199</c:v>
                </c:pt>
                <c:pt idx="2">
                  <c:v>-7.1428214701160799</c:v>
                </c:pt>
                <c:pt idx="3">
                  <c:v>-5.3178976281233803</c:v>
                </c:pt>
                <c:pt idx="5">
                  <c:v>0.322462857978698</c:v>
                </c:pt>
                <c:pt idx="6">
                  <c:v>0.48954125750331101</c:v>
                </c:pt>
                <c:pt idx="7">
                  <c:v>-0.87916515282223795</c:v>
                </c:pt>
                <c:pt idx="8">
                  <c:v>-0.80798555557795004</c:v>
                </c:pt>
                <c:pt idx="9">
                  <c:v>1.1872557970164701</c:v>
                </c:pt>
                <c:pt idx="12">
                  <c:v>0.44846574803643802</c:v>
                </c:pt>
                <c:pt idx="13">
                  <c:v>1.1359628674198701</c:v>
                </c:pt>
                <c:pt idx="14">
                  <c:v>2.1537917116401202</c:v>
                </c:pt>
                <c:pt idx="15">
                  <c:v>-2.0144299813636399E-2</c:v>
                </c:pt>
                <c:pt idx="17">
                  <c:v>2.52485206813915</c:v>
                </c:pt>
                <c:pt idx="18">
                  <c:v>-1.3104913729495</c:v>
                </c:pt>
                <c:pt idx="19">
                  <c:v>-2.3554997745570501</c:v>
                </c:pt>
                <c:pt idx="20">
                  <c:v>8.05237909087319</c:v>
                </c:pt>
                <c:pt idx="21">
                  <c:v>-2.6697214378598502</c:v>
                </c:pt>
                <c:pt idx="22">
                  <c:v>0.97866057518288296</c:v>
                </c:pt>
                <c:pt idx="23">
                  <c:v>2.3330976944780799</c:v>
                </c:pt>
                <c:pt idx="25">
                  <c:v>3.5526086814959998</c:v>
                </c:pt>
                <c:pt idx="26">
                  <c:v>-5.7581946242118898</c:v>
                </c:pt>
                <c:pt idx="27">
                  <c:v>-1.18987430119376</c:v>
                </c:pt>
                <c:pt idx="28">
                  <c:v>-3.0615497829451801</c:v>
                </c:pt>
                <c:pt idx="32">
                  <c:v>4.7889795716014998</c:v>
                </c:pt>
                <c:pt idx="33">
                  <c:v>0.18251061302656399</c:v>
                </c:pt>
                <c:pt idx="34">
                  <c:v>2.7370858422791202</c:v>
                </c:pt>
                <c:pt idx="35">
                  <c:v>0.77861701872131595</c:v>
                </c:pt>
                <c:pt idx="37">
                  <c:v>-4.3960884066668298</c:v>
                </c:pt>
                <c:pt idx="38">
                  <c:v>-3.9332309585694398</c:v>
                </c:pt>
                <c:pt idx="40">
                  <c:v>3.8691088013627599</c:v>
                </c:pt>
                <c:pt idx="41">
                  <c:v>2.9217680426942398</c:v>
                </c:pt>
                <c:pt idx="42">
                  <c:v>3.1365401829024901</c:v>
                </c:pt>
                <c:pt idx="43">
                  <c:v>0.55394116703537799</c:v>
                </c:pt>
                <c:pt idx="44">
                  <c:v>-0.49920333928622102</c:v>
                </c:pt>
                <c:pt idx="45">
                  <c:v>1.9234514973636001</c:v>
                </c:pt>
                <c:pt idx="46">
                  <c:v>1.3529021942469599</c:v>
                </c:pt>
                <c:pt idx="47">
                  <c:v>10.906464067922901</c:v>
                </c:pt>
                <c:pt idx="48">
                  <c:v>1.1327851388479</c:v>
                </c:pt>
                <c:pt idx="49">
                  <c:v>0.80997257025290403</c:v>
                </c:pt>
                <c:pt idx="50">
                  <c:v>1.2718176695675201</c:v>
                </c:pt>
                <c:pt idx="51">
                  <c:v>4.6215661873674296</c:v>
                </c:pt>
              </c:numCache>
            </c:numRef>
          </c:val>
          <c:extLst>
            <c:ext xmlns:c16="http://schemas.microsoft.com/office/drawing/2014/chart" uri="{C3380CC4-5D6E-409C-BE32-E72D297353CC}">
              <c16:uniqueId val="{00000000-5FAF-4A7A-ACFF-03DA5647B1C2}"/>
            </c:ext>
          </c:extLst>
        </c:ser>
        <c:ser>
          <c:idx val="1"/>
          <c:order val="1"/>
          <c:tx>
            <c:strRef>
              <c:f>PIVOT_TABLE!$N$3:$N$5</c:f>
              <c:strCache>
                <c:ptCount val="1"/>
                <c:pt idx="0">
                  <c:v>Apr-2025 - Sum of YoY</c:v>
                </c:pt>
              </c:strCache>
            </c:strRef>
          </c:tx>
          <c:spPr>
            <a:solidFill>
              <a:schemeClr val="accent2"/>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PIVOT_TABLE!$N$6:$N$58</c:f>
              <c:numCache>
                <c:formatCode>General</c:formatCode>
                <c:ptCount val="52"/>
                <c:pt idx="0">
                  <c:v>71.9045583912865</c:v>
                </c:pt>
                <c:pt idx="2">
                  <c:v>75.040225059730801</c:v>
                </c:pt>
                <c:pt idx="3">
                  <c:v>59.675942439505199</c:v>
                </c:pt>
                <c:pt idx="5">
                  <c:v>38.901257305140703</c:v>
                </c:pt>
                <c:pt idx="9">
                  <c:v>77.437817841360598</c:v>
                </c:pt>
                <c:pt idx="12">
                  <c:v>31.635946268648599</c:v>
                </c:pt>
                <c:pt idx="13">
                  <c:v>18.8650612178144</c:v>
                </c:pt>
                <c:pt idx="14">
                  <c:v>43.288041713136003</c:v>
                </c:pt>
                <c:pt idx="18">
                  <c:v>57.910810729607803</c:v>
                </c:pt>
                <c:pt idx="19">
                  <c:v>56.3412975505668</c:v>
                </c:pt>
                <c:pt idx="25">
                  <c:v>37.850555950486097</c:v>
                </c:pt>
                <c:pt idx="27">
                  <c:v>67.982054695263798</c:v>
                </c:pt>
                <c:pt idx="28">
                  <c:v>55.415650427266002</c:v>
                </c:pt>
                <c:pt idx="32">
                  <c:v>47.577102236939602</c:v>
                </c:pt>
                <c:pt idx="33">
                  <c:v>53.994734703865099</c:v>
                </c:pt>
                <c:pt idx="34">
                  <c:v>103.89395843908601</c:v>
                </c:pt>
                <c:pt idx="35">
                  <c:v>123.08987188890499</c:v>
                </c:pt>
                <c:pt idx="37">
                  <c:v>53.218562611227803</c:v>
                </c:pt>
                <c:pt idx="38">
                  <c:v>45.3018653839598</c:v>
                </c:pt>
                <c:pt idx="42">
                  <c:v>16.235217062157901</c:v>
                </c:pt>
                <c:pt idx="43">
                  <c:v>94.044717991188705</c:v>
                </c:pt>
                <c:pt idx="44">
                  <c:v>36.990129288524798</c:v>
                </c:pt>
                <c:pt idx="46">
                  <c:v>74.939646804130206</c:v>
                </c:pt>
                <c:pt idx="47">
                  <c:v>14.256346008367499</c:v>
                </c:pt>
                <c:pt idx="48">
                  <c:v>62.390321243366301</c:v>
                </c:pt>
                <c:pt idx="50">
                  <c:v>61.918558136748203</c:v>
                </c:pt>
                <c:pt idx="51">
                  <c:v>98.172750945910096</c:v>
                </c:pt>
              </c:numCache>
            </c:numRef>
          </c:val>
          <c:extLst>
            <c:ext xmlns:c16="http://schemas.microsoft.com/office/drawing/2014/chart" uri="{C3380CC4-5D6E-409C-BE32-E72D297353CC}">
              <c16:uniqueId val="{00000001-5FAF-4A7A-ACFF-03DA5647B1C2}"/>
            </c:ext>
          </c:extLst>
        </c:ser>
        <c:ser>
          <c:idx val="2"/>
          <c:order val="2"/>
          <c:tx>
            <c:strRef>
              <c:f>PIVOT_TABLE!$O$3:$O$5</c:f>
              <c:strCache>
                <c:ptCount val="1"/>
                <c:pt idx="0">
                  <c:v>Dec-2024 - Sum of MoM</c:v>
                </c:pt>
              </c:strCache>
            </c:strRef>
          </c:tx>
          <c:spPr>
            <a:solidFill>
              <a:schemeClr val="accent3"/>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PIVOT_TABLE!$O$6:$O$58</c:f>
              <c:numCache>
                <c:formatCode>General</c:formatCode>
                <c:ptCount val="52"/>
                <c:pt idx="0">
                  <c:v>1.98431441734056</c:v>
                </c:pt>
                <c:pt idx="1">
                  <c:v>1.1623990208923001</c:v>
                </c:pt>
                <c:pt idx="2">
                  <c:v>-8.0720498802671692</c:v>
                </c:pt>
                <c:pt idx="3">
                  <c:v>-8.9394162508238804</c:v>
                </c:pt>
                <c:pt idx="4">
                  <c:v>1.56588894277091</c:v>
                </c:pt>
                <c:pt idx="5">
                  <c:v>2.48056540444014</c:v>
                </c:pt>
                <c:pt idx="6">
                  <c:v>1.4357126898679899</c:v>
                </c:pt>
                <c:pt idx="7">
                  <c:v>1.7413604582736399</c:v>
                </c:pt>
                <c:pt idx="9">
                  <c:v>2.0530015501038599</c:v>
                </c:pt>
                <c:pt idx="10">
                  <c:v>4.4289154639866597</c:v>
                </c:pt>
                <c:pt idx="11">
                  <c:v>2.8103498997916998</c:v>
                </c:pt>
                <c:pt idx="12">
                  <c:v>1.83205086118798</c:v>
                </c:pt>
                <c:pt idx="13">
                  <c:v>5.5997227929858502</c:v>
                </c:pt>
                <c:pt idx="14">
                  <c:v>2.46476045103263</c:v>
                </c:pt>
                <c:pt idx="16">
                  <c:v>2.9761217308047598</c:v>
                </c:pt>
                <c:pt idx="18">
                  <c:v>-1.7108511493960401</c:v>
                </c:pt>
                <c:pt idx="19">
                  <c:v>-1.0756402414020301</c:v>
                </c:pt>
                <c:pt idx="22">
                  <c:v>5.1427648417655796</c:v>
                </c:pt>
                <c:pt idx="24">
                  <c:v>3.5755458104359699</c:v>
                </c:pt>
                <c:pt idx="25">
                  <c:v>2.21068177667639</c:v>
                </c:pt>
                <c:pt idx="26">
                  <c:v>1.094009355589</c:v>
                </c:pt>
                <c:pt idx="27">
                  <c:v>1.9956958688495601</c:v>
                </c:pt>
                <c:pt idx="28">
                  <c:v>-0.4990821926865</c:v>
                </c:pt>
                <c:pt idx="29">
                  <c:v>-0.26040697536166602</c:v>
                </c:pt>
                <c:pt idx="30">
                  <c:v>0.73002725235381405</c:v>
                </c:pt>
                <c:pt idx="31">
                  <c:v>5.3562790647705603</c:v>
                </c:pt>
                <c:pt idx="32">
                  <c:v>9.5745057267699796</c:v>
                </c:pt>
                <c:pt idx="33">
                  <c:v>4.68467101130509</c:v>
                </c:pt>
                <c:pt idx="34">
                  <c:v>-0.41332773137807299</c:v>
                </c:pt>
                <c:pt idx="35">
                  <c:v>-1.0249545518958101</c:v>
                </c:pt>
                <c:pt idx="36">
                  <c:v>-0.247284682957915</c:v>
                </c:pt>
                <c:pt idx="37">
                  <c:v>-0.79484758846685699</c:v>
                </c:pt>
                <c:pt idx="38">
                  <c:v>1.2706531167416799</c:v>
                </c:pt>
                <c:pt idx="39">
                  <c:v>-0.57232142829324495</c:v>
                </c:pt>
                <c:pt idx="42">
                  <c:v>-1.2151210014960601</c:v>
                </c:pt>
                <c:pt idx="43">
                  <c:v>1.66082088277745</c:v>
                </c:pt>
                <c:pt idx="44">
                  <c:v>2.3746346236228901</c:v>
                </c:pt>
                <c:pt idx="45">
                  <c:v>1.56561513761062</c:v>
                </c:pt>
                <c:pt idx="46">
                  <c:v>2.12558074209938</c:v>
                </c:pt>
                <c:pt idx="47">
                  <c:v>-1.2688952791846899</c:v>
                </c:pt>
                <c:pt idx="48">
                  <c:v>6.8567464243870697</c:v>
                </c:pt>
                <c:pt idx="50">
                  <c:v>1.3642522478907</c:v>
                </c:pt>
                <c:pt idx="51">
                  <c:v>3.80675973684103</c:v>
                </c:pt>
              </c:numCache>
            </c:numRef>
          </c:val>
          <c:extLst>
            <c:ext xmlns:c16="http://schemas.microsoft.com/office/drawing/2014/chart" uri="{C3380CC4-5D6E-409C-BE32-E72D297353CC}">
              <c16:uniqueId val="{00000009-19AC-4504-9DDE-495AE10D860F}"/>
            </c:ext>
          </c:extLst>
        </c:ser>
        <c:ser>
          <c:idx val="3"/>
          <c:order val="3"/>
          <c:tx>
            <c:strRef>
              <c:f>PIVOT_TABLE!$P$3:$P$5</c:f>
              <c:strCache>
                <c:ptCount val="1"/>
                <c:pt idx="0">
                  <c:v>Dec-2024 - Sum of YoY</c:v>
                </c:pt>
              </c:strCache>
            </c:strRef>
          </c:tx>
          <c:spPr>
            <a:solidFill>
              <a:schemeClr val="accent4"/>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PIVOT_TABLE!$P$6:$P$58</c:f>
              <c:numCache>
                <c:formatCode>General</c:formatCode>
                <c:ptCount val="52"/>
                <c:pt idx="0">
                  <c:v>129.148957336553</c:v>
                </c:pt>
                <c:pt idx="1">
                  <c:v>128.45794125703699</c:v>
                </c:pt>
                <c:pt idx="2">
                  <c:v>187.287884963046</c:v>
                </c:pt>
                <c:pt idx="3">
                  <c:v>179.44916246572799</c:v>
                </c:pt>
                <c:pt idx="4">
                  <c:v>91.079586755063104</c:v>
                </c:pt>
                <c:pt idx="5">
                  <c:v>95.433786147259696</c:v>
                </c:pt>
                <c:pt idx="6">
                  <c:v>88.390264074967305</c:v>
                </c:pt>
                <c:pt idx="7">
                  <c:v>85.512237616305995</c:v>
                </c:pt>
                <c:pt idx="9">
                  <c:v>85.201889851027403</c:v>
                </c:pt>
                <c:pt idx="10">
                  <c:v>80.0167542741722</c:v>
                </c:pt>
                <c:pt idx="11">
                  <c:v>55.959069947377799</c:v>
                </c:pt>
                <c:pt idx="12">
                  <c:v>74.199753526757505</c:v>
                </c:pt>
                <c:pt idx="13">
                  <c:v>71.654927016100103</c:v>
                </c:pt>
                <c:pt idx="14">
                  <c:v>95.278566782214995</c:v>
                </c:pt>
                <c:pt idx="16">
                  <c:v>71.385440060958302</c:v>
                </c:pt>
                <c:pt idx="18">
                  <c:v>108.32160907839101</c:v>
                </c:pt>
                <c:pt idx="19">
                  <c:v>116.605516471717</c:v>
                </c:pt>
                <c:pt idx="22">
                  <c:v>84.186820848017703</c:v>
                </c:pt>
                <c:pt idx="24">
                  <c:v>74.231668759770201</c:v>
                </c:pt>
                <c:pt idx="25">
                  <c:v>80.679152957326593</c:v>
                </c:pt>
                <c:pt idx="26">
                  <c:v>150.706001189847</c:v>
                </c:pt>
                <c:pt idx="27">
                  <c:v>89.201111703285605</c:v>
                </c:pt>
                <c:pt idx="28">
                  <c:v>99.2370281786866</c:v>
                </c:pt>
                <c:pt idx="29">
                  <c:v>96.728586074265905</c:v>
                </c:pt>
                <c:pt idx="30">
                  <c:v>88.147628228574803</c:v>
                </c:pt>
                <c:pt idx="31">
                  <c:v>79.516485246246603</c:v>
                </c:pt>
                <c:pt idx="32">
                  <c:v>111.739464137913</c:v>
                </c:pt>
                <c:pt idx="33">
                  <c:v>81.176250049101995</c:v>
                </c:pt>
                <c:pt idx="34">
                  <c:v>102.33498853293101</c:v>
                </c:pt>
                <c:pt idx="35">
                  <c:v>107.78523568753199</c:v>
                </c:pt>
                <c:pt idx="36">
                  <c:v>109.499622825589</c:v>
                </c:pt>
                <c:pt idx="37">
                  <c:v>111.823719940967</c:v>
                </c:pt>
                <c:pt idx="38">
                  <c:v>105.560632886213</c:v>
                </c:pt>
                <c:pt idx="39">
                  <c:v>111.121598805541</c:v>
                </c:pt>
                <c:pt idx="42">
                  <c:v>68.644620044725201</c:v>
                </c:pt>
                <c:pt idx="43">
                  <c:v>99.400453468826598</c:v>
                </c:pt>
                <c:pt idx="44">
                  <c:v>87.220903069643498</c:v>
                </c:pt>
                <c:pt idx="45">
                  <c:v>81.876075630029405</c:v>
                </c:pt>
                <c:pt idx="46">
                  <c:v>88.091454982449093</c:v>
                </c:pt>
                <c:pt idx="47">
                  <c:v>78.527095706102799</c:v>
                </c:pt>
                <c:pt idx="48">
                  <c:v>96.708633295817606</c:v>
                </c:pt>
                <c:pt idx="50">
                  <c:v>95.866202620811904</c:v>
                </c:pt>
                <c:pt idx="51">
                  <c:v>132.73389282625399</c:v>
                </c:pt>
              </c:numCache>
            </c:numRef>
          </c:val>
          <c:extLst>
            <c:ext xmlns:c16="http://schemas.microsoft.com/office/drawing/2014/chart" uri="{C3380CC4-5D6E-409C-BE32-E72D297353CC}">
              <c16:uniqueId val="{0000000A-19AC-4504-9DDE-495AE10D860F}"/>
            </c:ext>
          </c:extLst>
        </c:ser>
        <c:ser>
          <c:idx val="4"/>
          <c:order val="4"/>
          <c:tx>
            <c:strRef>
              <c:f>PIVOT_TABLE!$Q$3:$Q$5</c:f>
              <c:strCache>
                <c:ptCount val="1"/>
                <c:pt idx="0">
                  <c:v>Feb-2025 - Sum of MoM</c:v>
                </c:pt>
              </c:strCache>
            </c:strRef>
          </c:tx>
          <c:spPr>
            <a:solidFill>
              <a:schemeClr val="accent5"/>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PIVOT_TABLE!$Q$6:$Q$58</c:f>
              <c:numCache>
                <c:formatCode>General</c:formatCode>
                <c:ptCount val="52"/>
                <c:pt idx="0">
                  <c:v>1.57196587626128</c:v>
                </c:pt>
                <c:pt idx="1">
                  <c:v>1.66677204261407</c:v>
                </c:pt>
                <c:pt idx="2">
                  <c:v>0.30219169242862598</c:v>
                </c:pt>
                <c:pt idx="3">
                  <c:v>-0.44841891237925502</c:v>
                </c:pt>
                <c:pt idx="5">
                  <c:v>2.3991651556093498</c:v>
                </c:pt>
                <c:pt idx="6">
                  <c:v>1.76977908867328</c:v>
                </c:pt>
                <c:pt idx="7">
                  <c:v>3.0588231690474101</c:v>
                </c:pt>
                <c:pt idx="8">
                  <c:v>2.8778248064896501</c:v>
                </c:pt>
                <c:pt idx="9">
                  <c:v>1.0998734841123099</c:v>
                </c:pt>
                <c:pt idx="12">
                  <c:v>1.60900489400373</c:v>
                </c:pt>
                <c:pt idx="13">
                  <c:v>1.0127569948428601</c:v>
                </c:pt>
                <c:pt idx="14">
                  <c:v>1.25106566769033</c:v>
                </c:pt>
                <c:pt idx="15">
                  <c:v>3.4269948195124802</c:v>
                </c:pt>
                <c:pt idx="17">
                  <c:v>0.45729427414805102</c:v>
                </c:pt>
                <c:pt idx="18">
                  <c:v>0.75827744576593703</c:v>
                </c:pt>
                <c:pt idx="19">
                  <c:v>1.4125736064111301</c:v>
                </c:pt>
                <c:pt idx="20">
                  <c:v>3.9245368298853598</c:v>
                </c:pt>
                <c:pt idx="21">
                  <c:v>1.5564386736599001</c:v>
                </c:pt>
                <c:pt idx="22">
                  <c:v>3.4048938562513298</c:v>
                </c:pt>
                <c:pt idx="23">
                  <c:v>0.19743430967339801</c:v>
                </c:pt>
                <c:pt idx="25">
                  <c:v>-1.9265955671185</c:v>
                </c:pt>
                <c:pt idx="26">
                  <c:v>2.2644876844467698</c:v>
                </c:pt>
                <c:pt idx="27">
                  <c:v>2.2538077940924302</c:v>
                </c:pt>
                <c:pt idx="28">
                  <c:v>8.4139930918228301E-2</c:v>
                </c:pt>
                <c:pt idx="32">
                  <c:v>0.32321365640453398</c:v>
                </c:pt>
                <c:pt idx="33">
                  <c:v>2.3441642403621898</c:v>
                </c:pt>
                <c:pt idx="34">
                  <c:v>2.0507791552699701</c:v>
                </c:pt>
                <c:pt idx="35">
                  <c:v>0.40594900136923401</c:v>
                </c:pt>
                <c:pt idx="37">
                  <c:v>1.0069575431648199</c:v>
                </c:pt>
                <c:pt idx="38">
                  <c:v>2.3792674057004901</c:v>
                </c:pt>
                <c:pt idx="40">
                  <c:v>0.85874402162845698</c:v>
                </c:pt>
                <c:pt idx="41">
                  <c:v>0.93176256511798505</c:v>
                </c:pt>
                <c:pt idx="42">
                  <c:v>-3.4271069589251302</c:v>
                </c:pt>
                <c:pt idx="43">
                  <c:v>0.76162036267523403</c:v>
                </c:pt>
                <c:pt idx="44">
                  <c:v>0.32684271128839598</c:v>
                </c:pt>
                <c:pt idx="45">
                  <c:v>-1.18458208846251</c:v>
                </c:pt>
                <c:pt idx="46">
                  <c:v>1.7752629224034699</c:v>
                </c:pt>
                <c:pt idx="47">
                  <c:v>2.7463822013231902</c:v>
                </c:pt>
                <c:pt idx="48">
                  <c:v>3.8491239062449201</c:v>
                </c:pt>
                <c:pt idx="49">
                  <c:v>4.0717034551962703</c:v>
                </c:pt>
                <c:pt idx="50">
                  <c:v>1.1290142105402099</c:v>
                </c:pt>
                <c:pt idx="51">
                  <c:v>1.5418325437762499</c:v>
                </c:pt>
              </c:numCache>
            </c:numRef>
          </c:val>
          <c:extLst>
            <c:ext xmlns:c16="http://schemas.microsoft.com/office/drawing/2014/chart" uri="{C3380CC4-5D6E-409C-BE32-E72D297353CC}">
              <c16:uniqueId val="{00000013-19AC-4504-9DDE-495AE10D860F}"/>
            </c:ext>
          </c:extLst>
        </c:ser>
        <c:ser>
          <c:idx val="5"/>
          <c:order val="5"/>
          <c:tx>
            <c:strRef>
              <c:f>PIVOT_TABLE!$R$3:$R$5</c:f>
              <c:strCache>
                <c:ptCount val="1"/>
                <c:pt idx="0">
                  <c:v>Feb-2025 - Sum of YoY</c:v>
                </c:pt>
              </c:strCache>
            </c:strRef>
          </c:tx>
          <c:spPr>
            <a:solidFill>
              <a:schemeClr val="accent6"/>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PIVOT_TABLE!$R$6:$R$58</c:f>
              <c:numCache>
                <c:formatCode>General</c:formatCode>
                <c:ptCount val="52"/>
                <c:pt idx="0">
                  <c:v>80.887516179378096</c:v>
                </c:pt>
                <c:pt idx="2">
                  <c:v>109.347887265248</c:v>
                </c:pt>
                <c:pt idx="3">
                  <c:v>82.770467354629602</c:v>
                </c:pt>
                <c:pt idx="5">
                  <c:v>71.551615447484195</c:v>
                </c:pt>
                <c:pt idx="9">
                  <c:v>91.574836987164403</c:v>
                </c:pt>
                <c:pt idx="12">
                  <c:v>44.656476854343403</c:v>
                </c:pt>
                <c:pt idx="13">
                  <c:v>27.041398105119299</c:v>
                </c:pt>
                <c:pt idx="14">
                  <c:v>59.685989338413698</c:v>
                </c:pt>
                <c:pt idx="18">
                  <c:v>76.549717781782505</c:v>
                </c:pt>
                <c:pt idx="19">
                  <c:v>82.884880253124095</c:v>
                </c:pt>
                <c:pt idx="25">
                  <c:v>55.347701705399899</c:v>
                </c:pt>
                <c:pt idx="27">
                  <c:v>92.978980969688394</c:v>
                </c:pt>
                <c:pt idx="28">
                  <c:v>60.301365147552801</c:v>
                </c:pt>
                <c:pt idx="32">
                  <c:v>49.850061160851297</c:v>
                </c:pt>
                <c:pt idx="33">
                  <c:v>52.687358173762</c:v>
                </c:pt>
                <c:pt idx="34">
                  <c:v>126.16629240774201</c:v>
                </c:pt>
                <c:pt idx="35">
                  <c:v>147.69398125946799</c:v>
                </c:pt>
                <c:pt idx="37">
                  <c:v>70.799570076556506</c:v>
                </c:pt>
                <c:pt idx="38">
                  <c:v>65.543192844612193</c:v>
                </c:pt>
                <c:pt idx="42">
                  <c:v>22.363803716322799</c:v>
                </c:pt>
                <c:pt idx="43">
                  <c:v>108.727777118533</c:v>
                </c:pt>
                <c:pt idx="44">
                  <c:v>46.389219761521403</c:v>
                </c:pt>
                <c:pt idx="46">
                  <c:v>92.998497136207703</c:v>
                </c:pt>
                <c:pt idx="47">
                  <c:v>18.477525709248599</c:v>
                </c:pt>
                <c:pt idx="48">
                  <c:v>64.492769728226904</c:v>
                </c:pt>
                <c:pt idx="50">
                  <c:v>70.830138606683704</c:v>
                </c:pt>
                <c:pt idx="51">
                  <c:v>100.289328505569</c:v>
                </c:pt>
              </c:numCache>
            </c:numRef>
          </c:val>
          <c:extLst>
            <c:ext xmlns:c16="http://schemas.microsoft.com/office/drawing/2014/chart" uri="{C3380CC4-5D6E-409C-BE32-E72D297353CC}">
              <c16:uniqueId val="{00000014-19AC-4504-9DDE-495AE10D860F}"/>
            </c:ext>
          </c:extLst>
        </c:ser>
        <c:ser>
          <c:idx val="6"/>
          <c:order val="6"/>
          <c:tx>
            <c:strRef>
              <c:f>PIVOT_TABLE!$S$3:$S$5</c:f>
              <c:strCache>
                <c:ptCount val="1"/>
                <c:pt idx="0">
                  <c:v>Jan-2025 - Sum of MoM</c:v>
                </c:pt>
              </c:strCache>
            </c:strRef>
          </c:tx>
          <c:spPr>
            <a:solidFill>
              <a:schemeClr val="accent1">
                <a:lumMod val="60000"/>
              </a:schemeClr>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PIVOT_TABLE!$S$6:$S$58</c:f>
              <c:numCache>
                <c:formatCode>General</c:formatCode>
                <c:ptCount val="52"/>
                <c:pt idx="0">
                  <c:v>-1.63547646854262</c:v>
                </c:pt>
                <c:pt idx="2">
                  <c:v>-1.71070382243884</c:v>
                </c:pt>
                <c:pt idx="3">
                  <c:v>-8.4168028400241699</c:v>
                </c:pt>
                <c:pt idx="5">
                  <c:v>-0.44900434450441001</c:v>
                </c:pt>
                <c:pt idx="9">
                  <c:v>20.228573735983399</c:v>
                </c:pt>
                <c:pt idx="12">
                  <c:v>-3.0667712275090402</c:v>
                </c:pt>
                <c:pt idx="13">
                  <c:v>-15.088113836420201</c:v>
                </c:pt>
                <c:pt idx="14">
                  <c:v>-1.8697281191784501</c:v>
                </c:pt>
                <c:pt idx="18">
                  <c:v>6.9945191986648503</c:v>
                </c:pt>
                <c:pt idx="19">
                  <c:v>4.78297542926863</c:v>
                </c:pt>
                <c:pt idx="25">
                  <c:v>-1.5056339507387799</c:v>
                </c:pt>
                <c:pt idx="27">
                  <c:v>19.3614483291684</c:v>
                </c:pt>
                <c:pt idx="28">
                  <c:v>1.4944610243380601</c:v>
                </c:pt>
                <c:pt idx="32">
                  <c:v>-33.539977777164601</c:v>
                </c:pt>
                <c:pt idx="33">
                  <c:v>-9.7897415115142703</c:v>
                </c:pt>
                <c:pt idx="34">
                  <c:v>22.321780425713399</c:v>
                </c:pt>
                <c:pt idx="35">
                  <c:v>36.700773275844803</c:v>
                </c:pt>
                <c:pt idx="37">
                  <c:v>6.3563914662364498</c:v>
                </c:pt>
                <c:pt idx="38">
                  <c:v>-0.60681025819106604</c:v>
                </c:pt>
                <c:pt idx="42">
                  <c:v>-8.4093920205989807</c:v>
                </c:pt>
                <c:pt idx="43">
                  <c:v>23.343395308564698</c:v>
                </c:pt>
                <c:pt idx="44">
                  <c:v>-8.5479740306439105</c:v>
                </c:pt>
                <c:pt idx="46">
                  <c:v>15.7045485709055</c:v>
                </c:pt>
                <c:pt idx="47">
                  <c:v>-25.5973609077835</c:v>
                </c:pt>
                <c:pt idx="48">
                  <c:v>-11.5043480082689</c:v>
                </c:pt>
                <c:pt idx="50">
                  <c:v>-0.62275337776870299</c:v>
                </c:pt>
                <c:pt idx="51">
                  <c:v>4.4823399442399801</c:v>
                </c:pt>
              </c:numCache>
            </c:numRef>
          </c:val>
          <c:extLst>
            <c:ext xmlns:c16="http://schemas.microsoft.com/office/drawing/2014/chart" uri="{C3380CC4-5D6E-409C-BE32-E72D297353CC}">
              <c16:uniqueId val="{00000015-19AC-4504-9DDE-495AE10D860F}"/>
            </c:ext>
          </c:extLst>
        </c:ser>
        <c:ser>
          <c:idx val="7"/>
          <c:order val="7"/>
          <c:tx>
            <c:strRef>
              <c:f>PIVOT_TABLE!$T$3:$T$5</c:f>
              <c:strCache>
                <c:ptCount val="1"/>
                <c:pt idx="0">
                  <c:v>Jan-2025 - Sum of YoY</c:v>
                </c:pt>
              </c:strCache>
            </c:strRef>
          </c:tx>
          <c:spPr>
            <a:solidFill>
              <a:schemeClr val="accent2">
                <a:lumMod val="60000"/>
              </a:schemeClr>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PIVOT_TABLE!$T$6:$T$58</c:f>
              <c:numCache>
                <c:formatCode>General</c:formatCode>
                <c:ptCount val="52"/>
                <c:pt idx="0">
                  <c:v>113.075672641975</c:v>
                </c:pt>
                <c:pt idx="2">
                  <c:v>151.74824791706499</c:v>
                </c:pt>
                <c:pt idx="3">
                  <c:v>130.50826882484401</c:v>
                </c:pt>
                <c:pt idx="5">
                  <c:v>84.649351042784104</c:v>
                </c:pt>
                <c:pt idx="9">
                  <c:v>109.294655775058</c:v>
                </c:pt>
                <c:pt idx="12">
                  <c:v>60.500418469627803</c:v>
                </c:pt>
                <c:pt idx="13">
                  <c:v>37.1659409328118</c:v>
                </c:pt>
                <c:pt idx="14">
                  <c:v>73.132752428344801</c:v>
                </c:pt>
                <c:pt idx="18">
                  <c:v>111.030781061149</c:v>
                </c:pt>
                <c:pt idx="19">
                  <c:v>117.707603174382</c:v>
                </c:pt>
                <c:pt idx="25">
                  <c:v>70.276157160046395</c:v>
                </c:pt>
                <c:pt idx="27">
                  <c:v>108.21326052034399</c:v>
                </c:pt>
                <c:pt idx="28">
                  <c:v>84.306003787734596</c:v>
                </c:pt>
                <c:pt idx="32">
                  <c:v>55.200318331596101</c:v>
                </c:pt>
                <c:pt idx="33">
                  <c:v>59.916689594158299</c:v>
                </c:pt>
                <c:pt idx="34">
                  <c:v>131.41757531990501</c:v>
                </c:pt>
                <c:pt idx="35">
                  <c:v>160.98670408012001</c:v>
                </c:pt>
                <c:pt idx="37">
                  <c:v>102.39056335875399</c:v>
                </c:pt>
                <c:pt idx="38">
                  <c:v>89.521087229815606</c:v>
                </c:pt>
                <c:pt idx="42">
                  <c:v>38.513937813929097</c:v>
                </c:pt>
                <c:pt idx="43">
                  <c:v>128.74359632208899</c:v>
                </c:pt>
                <c:pt idx="44">
                  <c:v>61.172095672686297</c:v>
                </c:pt>
                <c:pt idx="46">
                  <c:v>107.997518302885</c:v>
                </c:pt>
                <c:pt idx="47">
                  <c:v>27.9418626009939</c:v>
                </c:pt>
                <c:pt idx="48">
                  <c:v>66.928958841508404</c:v>
                </c:pt>
                <c:pt idx="50">
                  <c:v>88.320895952811696</c:v>
                </c:pt>
                <c:pt idx="51">
                  <c:v>120.78247143557</c:v>
                </c:pt>
              </c:numCache>
            </c:numRef>
          </c:val>
          <c:extLst>
            <c:ext xmlns:c16="http://schemas.microsoft.com/office/drawing/2014/chart" uri="{C3380CC4-5D6E-409C-BE32-E72D297353CC}">
              <c16:uniqueId val="{00000016-19AC-4504-9DDE-495AE10D860F}"/>
            </c:ext>
          </c:extLst>
        </c:ser>
        <c:ser>
          <c:idx val="8"/>
          <c:order val="8"/>
          <c:tx>
            <c:strRef>
              <c:f>PIVOT_TABLE!$U$3:$U$5</c:f>
              <c:strCache>
                <c:ptCount val="1"/>
                <c:pt idx="0">
                  <c:v>Mar-2025 - Sum of MoM</c:v>
                </c:pt>
              </c:strCache>
            </c:strRef>
          </c:tx>
          <c:spPr>
            <a:solidFill>
              <a:schemeClr val="accent3">
                <a:lumMod val="60000"/>
              </a:schemeClr>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PIVOT_TABLE!$U$6:$U$58</c:f>
              <c:numCache>
                <c:formatCode>General</c:formatCode>
                <c:ptCount val="52"/>
                <c:pt idx="0">
                  <c:v>3.6682586322827899</c:v>
                </c:pt>
                <c:pt idx="1">
                  <c:v>28.353589197942899</c:v>
                </c:pt>
                <c:pt idx="2">
                  <c:v>6.0950165591576502</c:v>
                </c:pt>
                <c:pt idx="3">
                  <c:v>4.7664204649391397</c:v>
                </c:pt>
                <c:pt idx="5">
                  <c:v>4.0520590145350104</c:v>
                </c:pt>
                <c:pt idx="6">
                  <c:v>2.8771572394197</c:v>
                </c:pt>
                <c:pt idx="7">
                  <c:v>4.2617539103121604</c:v>
                </c:pt>
                <c:pt idx="8">
                  <c:v>5.8989086208432404</c:v>
                </c:pt>
                <c:pt idx="9">
                  <c:v>4.2152771295003602</c:v>
                </c:pt>
                <c:pt idx="12">
                  <c:v>4.1963045246935797</c:v>
                </c:pt>
                <c:pt idx="13">
                  <c:v>2.21465076660989</c:v>
                </c:pt>
                <c:pt idx="14">
                  <c:v>6.3013743935079196</c:v>
                </c:pt>
                <c:pt idx="15">
                  <c:v>3.3625251713385098</c:v>
                </c:pt>
                <c:pt idx="17">
                  <c:v>5.4182120874485502</c:v>
                </c:pt>
                <c:pt idx="18">
                  <c:v>6.7107019736586597</c:v>
                </c:pt>
                <c:pt idx="19">
                  <c:v>5.6957726327946796</c:v>
                </c:pt>
                <c:pt idx="20">
                  <c:v>5.2227642655108104</c:v>
                </c:pt>
                <c:pt idx="21">
                  <c:v>9.4233838018605098</c:v>
                </c:pt>
                <c:pt idx="22">
                  <c:v>5.8881051899607098</c:v>
                </c:pt>
                <c:pt idx="23">
                  <c:v>3.9793781197132798</c:v>
                </c:pt>
                <c:pt idx="25">
                  <c:v>7.1366710297588503</c:v>
                </c:pt>
                <c:pt idx="26">
                  <c:v>4.1629297522062396</c:v>
                </c:pt>
                <c:pt idx="27">
                  <c:v>4.7673250881399403</c:v>
                </c:pt>
                <c:pt idx="28">
                  <c:v>9.3591500953778208</c:v>
                </c:pt>
                <c:pt idx="32">
                  <c:v>4.5776972269802298</c:v>
                </c:pt>
                <c:pt idx="33">
                  <c:v>5.35292412732176</c:v>
                </c:pt>
                <c:pt idx="34">
                  <c:v>4.60095082335084</c:v>
                </c:pt>
                <c:pt idx="35">
                  <c:v>4.0839960872681198</c:v>
                </c:pt>
                <c:pt idx="37">
                  <c:v>7.3637944728977001</c:v>
                </c:pt>
                <c:pt idx="38">
                  <c:v>4.4604471122556797</c:v>
                </c:pt>
                <c:pt idx="40">
                  <c:v>3.9871626159382498</c:v>
                </c:pt>
                <c:pt idx="41">
                  <c:v>5.4000571781490097</c:v>
                </c:pt>
                <c:pt idx="42">
                  <c:v>10.516982451291399</c:v>
                </c:pt>
                <c:pt idx="43">
                  <c:v>6.9573696613663101</c:v>
                </c:pt>
                <c:pt idx="44">
                  <c:v>7.3192694270391998</c:v>
                </c:pt>
                <c:pt idx="45">
                  <c:v>5.4175779276528502</c:v>
                </c:pt>
                <c:pt idx="46">
                  <c:v>5.3145701841103898</c:v>
                </c:pt>
                <c:pt idx="47">
                  <c:v>4.1584451915439198</c:v>
                </c:pt>
                <c:pt idx="48">
                  <c:v>7.9759613197202803</c:v>
                </c:pt>
                <c:pt idx="49">
                  <c:v>5.9502839017174303</c:v>
                </c:pt>
                <c:pt idx="50">
                  <c:v>5.7427615471884801</c:v>
                </c:pt>
                <c:pt idx="51">
                  <c:v>5.8899695652963304</c:v>
                </c:pt>
              </c:numCache>
            </c:numRef>
          </c:val>
          <c:extLst>
            <c:ext xmlns:c16="http://schemas.microsoft.com/office/drawing/2014/chart" uri="{C3380CC4-5D6E-409C-BE32-E72D297353CC}">
              <c16:uniqueId val="{00000017-19AC-4504-9DDE-495AE10D860F}"/>
            </c:ext>
          </c:extLst>
        </c:ser>
        <c:ser>
          <c:idx val="9"/>
          <c:order val="9"/>
          <c:tx>
            <c:strRef>
              <c:f>PIVOT_TABLE!$V$3:$V$5</c:f>
              <c:strCache>
                <c:ptCount val="1"/>
                <c:pt idx="0">
                  <c:v>Mar-2025 - Sum of YoY</c:v>
                </c:pt>
              </c:strCache>
            </c:strRef>
          </c:tx>
          <c:spPr>
            <a:solidFill>
              <a:schemeClr val="accent4">
                <a:lumMod val="60000"/>
              </a:schemeClr>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PIVOT_TABLE!$V$6:$V$58</c:f>
              <c:numCache>
                <c:formatCode>General</c:formatCode>
                <c:ptCount val="52"/>
                <c:pt idx="0">
                  <c:v>76.566017902472794</c:v>
                </c:pt>
                <c:pt idx="2">
                  <c:v>111.945801995853</c:v>
                </c:pt>
                <c:pt idx="3">
                  <c:v>85.797490153749493</c:v>
                </c:pt>
                <c:pt idx="5">
                  <c:v>51.386684446531198</c:v>
                </c:pt>
                <c:pt idx="9">
                  <c:v>80.950398968627894</c:v>
                </c:pt>
                <c:pt idx="12">
                  <c:v>42.891520910395002</c:v>
                </c:pt>
                <c:pt idx="13">
                  <c:v>24.341672814858601</c:v>
                </c:pt>
                <c:pt idx="14">
                  <c:v>56.107343517747999</c:v>
                </c:pt>
                <c:pt idx="18">
                  <c:v>81.753894792822393</c:v>
                </c:pt>
                <c:pt idx="19">
                  <c:v>81.172866710283998</c:v>
                </c:pt>
                <c:pt idx="25">
                  <c:v>50.0064116084463</c:v>
                </c:pt>
                <c:pt idx="27">
                  <c:v>84.469121996444301</c:v>
                </c:pt>
                <c:pt idx="28">
                  <c:v>68.733508344634402</c:v>
                </c:pt>
                <c:pt idx="32">
                  <c:v>52.827850548312298</c:v>
                </c:pt>
                <c:pt idx="33">
                  <c:v>60.404328926877703</c:v>
                </c:pt>
                <c:pt idx="34">
                  <c:v>111.38820833553299</c:v>
                </c:pt>
                <c:pt idx="35">
                  <c:v>137.31969065071101</c:v>
                </c:pt>
                <c:pt idx="37">
                  <c:v>67.268218914030598</c:v>
                </c:pt>
                <c:pt idx="38">
                  <c:v>63.990885743079502</c:v>
                </c:pt>
                <c:pt idx="42">
                  <c:v>31.969207342668501</c:v>
                </c:pt>
                <c:pt idx="43">
                  <c:v>100.065094008892</c:v>
                </c:pt>
                <c:pt idx="44">
                  <c:v>49.196117000196899</c:v>
                </c:pt>
                <c:pt idx="46">
                  <c:v>87.577590776631396</c:v>
                </c:pt>
                <c:pt idx="47">
                  <c:v>20.596601931584299</c:v>
                </c:pt>
                <c:pt idx="48">
                  <c:v>66.546800086168901</c:v>
                </c:pt>
                <c:pt idx="50">
                  <c:v>66.055530939015895</c:v>
                </c:pt>
                <c:pt idx="51">
                  <c:v>100.33469295883999</c:v>
                </c:pt>
              </c:numCache>
            </c:numRef>
          </c:val>
          <c:extLst>
            <c:ext xmlns:c16="http://schemas.microsoft.com/office/drawing/2014/chart" uri="{C3380CC4-5D6E-409C-BE32-E72D297353CC}">
              <c16:uniqueId val="{00000018-19AC-4504-9DDE-495AE10D860F}"/>
            </c:ext>
          </c:extLst>
        </c:ser>
        <c:ser>
          <c:idx val="10"/>
          <c:order val="10"/>
          <c:tx>
            <c:strRef>
              <c:f>PIVOT_TABLE!$W$3:$W$5</c:f>
              <c:strCache>
                <c:ptCount val="1"/>
                <c:pt idx="0">
                  <c:v>Nov-2024 - Sum of MoM</c:v>
                </c:pt>
              </c:strCache>
            </c:strRef>
          </c:tx>
          <c:spPr>
            <a:solidFill>
              <a:schemeClr val="accent5">
                <a:lumMod val="60000"/>
              </a:schemeClr>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PIVOT_TABLE!$W$6:$W$58</c:f>
              <c:numCache>
                <c:formatCode>General</c:formatCode>
                <c:ptCount val="52"/>
                <c:pt idx="0">
                  <c:v>4.9159544386384999</c:v>
                </c:pt>
                <c:pt idx="1">
                  <c:v>6.0776604903340896</c:v>
                </c:pt>
                <c:pt idx="2">
                  <c:v>-2.7706082383305999</c:v>
                </c:pt>
                <c:pt idx="3">
                  <c:v>-2.1747432678996299</c:v>
                </c:pt>
                <c:pt idx="4">
                  <c:v>3.2375619667496198</c:v>
                </c:pt>
                <c:pt idx="5">
                  <c:v>2.4364204344929101</c:v>
                </c:pt>
                <c:pt idx="6">
                  <c:v>2.4372917251114399</c:v>
                </c:pt>
                <c:pt idx="7">
                  <c:v>2.1871297929893299</c:v>
                </c:pt>
                <c:pt idx="9">
                  <c:v>2.6814297580150099</c:v>
                </c:pt>
                <c:pt idx="10">
                  <c:v>3.8823435851624502</c:v>
                </c:pt>
                <c:pt idx="11">
                  <c:v>2.6599242606227298</c:v>
                </c:pt>
                <c:pt idx="12">
                  <c:v>2.1140434725571402</c:v>
                </c:pt>
                <c:pt idx="13">
                  <c:v>2.65470568328365</c:v>
                </c:pt>
                <c:pt idx="14">
                  <c:v>2.9195945241342001</c:v>
                </c:pt>
                <c:pt idx="16">
                  <c:v>2.6846165328660101</c:v>
                </c:pt>
                <c:pt idx="18">
                  <c:v>0.61278117752677597</c:v>
                </c:pt>
                <c:pt idx="19">
                  <c:v>3.53101101385794</c:v>
                </c:pt>
                <c:pt idx="22">
                  <c:v>8.0734424788985795</c:v>
                </c:pt>
                <c:pt idx="24">
                  <c:v>4.5527695982480996</c:v>
                </c:pt>
                <c:pt idx="25">
                  <c:v>2.6237522429984601</c:v>
                </c:pt>
                <c:pt idx="26">
                  <c:v>2.3260487606688698</c:v>
                </c:pt>
                <c:pt idx="27">
                  <c:v>1.63478962415296</c:v>
                </c:pt>
                <c:pt idx="28">
                  <c:v>7.07733746914991</c:v>
                </c:pt>
                <c:pt idx="29">
                  <c:v>7.6166339218340102</c:v>
                </c:pt>
                <c:pt idx="30">
                  <c:v>2.0263479902927801</c:v>
                </c:pt>
                <c:pt idx="31">
                  <c:v>4.0093829569556698</c:v>
                </c:pt>
                <c:pt idx="32">
                  <c:v>50.057211841402399</c:v>
                </c:pt>
                <c:pt idx="33">
                  <c:v>14.8952739623161</c:v>
                </c:pt>
                <c:pt idx="34">
                  <c:v>2.1788988069340798</c:v>
                </c:pt>
                <c:pt idx="35">
                  <c:v>1.7242721449098899</c:v>
                </c:pt>
                <c:pt idx="36">
                  <c:v>0.92256513581917099</c:v>
                </c:pt>
                <c:pt idx="37">
                  <c:v>0.78878725503734903</c:v>
                </c:pt>
                <c:pt idx="38">
                  <c:v>0.72284973124780605</c:v>
                </c:pt>
                <c:pt idx="39">
                  <c:v>1.75213419395764</c:v>
                </c:pt>
                <c:pt idx="42">
                  <c:v>4.8642105378602496</c:v>
                </c:pt>
                <c:pt idx="43">
                  <c:v>2.4143522776233799</c:v>
                </c:pt>
                <c:pt idx="44">
                  <c:v>3.7120167756503601</c:v>
                </c:pt>
                <c:pt idx="45">
                  <c:v>3.6242693197759199</c:v>
                </c:pt>
                <c:pt idx="46">
                  <c:v>2.6042274681930802</c:v>
                </c:pt>
                <c:pt idx="47">
                  <c:v>0.42225239614847099</c:v>
                </c:pt>
                <c:pt idx="48">
                  <c:v>15.735861541380499</c:v>
                </c:pt>
                <c:pt idx="50">
                  <c:v>1.90786198545033</c:v>
                </c:pt>
                <c:pt idx="51">
                  <c:v>7.6469454531632204</c:v>
                </c:pt>
              </c:numCache>
            </c:numRef>
          </c:val>
          <c:extLst>
            <c:ext xmlns:c16="http://schemas.microsoft.com/office/drawing/2014/chart" uri="{C3380CC4-5D6E-409C-BE32-E72D297353CC}">
              <c16:uniqueId val="{00000019-19AC-4504-9DDE-495AE10D860F}"/>
            </c:ext>
          </c:extLst>
        </c:ser>
        <c:ser>
          <c:idx val="11"/>
          <c:order val="11"/>
          <c:tx>
            <c:strRef>
              <c:f>PIVOT_TABLE!$X$3:$X$5</c:f>
              <c:strCache>
                <c:ptCount val="1"/>
                <c:pt idx="0">
                  <c:v>Nov-2024 - Sum of YoY</c:v>
                </c:pt>
              </c:strCache>
            </c:strRef>
          </c:tx>
          <c:spPr>
            <a:solidFill>
              <a:schemeClr val="accent6">
                <a:lumMod val="60000"/>
              </a:schemeClr>
            </a:solidFill>
            <a:ln>
              <a:noFill/>
            </a:ln>
            <a:effectLst/>
          </c:spPr>
          <c:invertIfNegative val="0"/>
          <c:cat>
            <c:strRef>
              <c:f>PIVOT_TABLE!$L$6:$L$58</c:f>
              <c:strCache>
                <c:ptCount val="52"/>
                <c:pt idx="0">
                  <c:v>Agric hen eggs</c:v>
                </c:pt>
                <c:pt idx="1">
                  <c:v>Agric hen eggs, (a Crate of 30 pieces)</c:v>
                </c:pt>
                <c:pt idx="2">
                  <c:v>Beans Brown</c:v>
                </c:pt>
                <c:pt idx="3">
                  <c:v>Beans white</c:v>
                </c:pt>
                <c:pt idx="4">
                  <c:v>Beef Bone in</c:v>
                </c:pt>
                <c:pt idx="5">
                  <c:v>Beef Boneless</c:v>
                </c:pt>
                <c:pt idx="6">
                  <c:v>Bread (sliced), 450g</c:v>
                </c:pt>
                <c:pt idx="7">
                  <c:v>Bread (unsliced), 450g</c:v>
                </c:pt>
                <c:pt idx="8">
                  <c:v>Carrots, fresh</c:v>
                </c:pt>
                <c:pt idx="9">
                  <c:v>Cat fresh fish</c:v>
                </c:pt>
                <c:pt idx="10">
                  <c:v>Catfish :dried</c:v>
                </c:pt>
                <c:pt idx="11">
                  <c:v>Catfish Smoked</c:v>
                </c:pt>
                <c:pt idx="12">
                  <c:v>Chicken feet</c:v>
                </c:pt>
                <c:pt idx="13">
                  <c:v>Chicken meat (Frozen)</c:v>
                </c:pt>
                <c:pt idx="14">
                  <c:v>Chicken Wings</c:v>
                </c:pt>
                <c:pt idx="15">
                  <c:v>Cray fish small white</c:v>
                </c:pt>
                <c:pt idx="16">
                  <c:v>Dried Fish Sardine</c:v>
                </c:pt>
                <c:pt idx="17">
                  <c:v>Dried fish, Bonga</c:v>
                </c:pt>
                <c:pt idx="18">
                  <c:v>Garri white</c:v>
                </c:pt>
                <c:pt idx="19">
                  <c:v>Garri Yellow</c:v>
                </c:pt>
                <c:pt idx="20">
                  <c:v>Ginger, fresh</c:v>
                </c:pt>
                <c:pt idx="21">
                  <c:v>Goat Meat Bone in</c:v>
                </c:pt>
                <c:pt idx="22">
                  <c:v>Groundnut oil, 75cl</c:v>
                </c:pt>
                <c:pt idx="23">
                  <c:v>Groundnuts, roasted,75cl bottle</c:v>
                </c:pt>
                <c:pt idx="24">
                  <c:v>Iced Sardine</c:v>
                </c:pt>
                <c:pt idx="25">
                  <c:v>Irish Potatoe</c:v>
                </c:pt>
                <c:pt idx="26">
                  <c:v>Local Rice (Broken)</c:v>
                </c:pt>
                <c:pt idx="27">
                  <c:v>Mackerel, Frozen</c:v>
                </c:pt>
                <c:pt idx="28">
                  <c:v>Maize (Corn) Grains (White) sold loose</c:v>
                </c:pt>
                <c:pt idx="29">
                  <c:v>Maize grain yellow sold loose</c:v>
                </c:pt>
                <c:pt idx="30">
                  <c:v>Mudfish (aro) fresh</c:v>
                </c:pt>
                <c:pt idx="31">
                  <c:v>Mudfish : dried</c:v>
                </c:pt>
                <c:pt idx="32">
                  <c:v>Onions, fresh</c:v>
                </c:pt>
                <c:pt idx="33">
                  <c:v>Palm oil, 75cl</c:v>
                </c:pt>
                <c:pt idx="34">
                  <c:v>Plantain (ripe)</c:v>
                </c:pt>
                <c:pt idx="35">
                  <c:v>Plantain (unripe)</c:v>
                </c:pt>
                <c:pt idx="36">
                  <c:v>Rice agric sold loose</c:v>
                </c:pt>
                <c:pt idx="37">
                  <c:v>Rice Local, short-Grained</c:v>
                </c:pt>
                <c:pt idx="38">
                  <c:v>Rice Long-Grained (Imported)</c:v>
                </c:pt>
                <c:pt idx="39">
                  <c:v>Rice Medium Grained</c:v>
                </c:pt>
                <c:pt idx="40">
                  <c:v>Semovita, Prepacked (1kg)</c:v>
                </c:pt>
                <c:pt idx="41">
                  <c:v>Smoked fish (Mackerel)</c:v>
                </c:pt>
                <c:pt idx="42">
                  <c:v>Sweet potatoes</c:v>
                </c:pt>
                <c:pt idx="43">
                  <c:v>Tilapia fresh fish (Epiya)</c:v>
                </c:pt>
                <c:pt idx="44">
                  <c:v>Tin Milk-Evaporated, Peak Milk, 150g</c:v>
                </c:pt>
                <c:pt idx="45">
                  <c:v>Tin Milk-Evaporated, Three Crown Milk, 160g</c:v>
                </c:pt>
                <c:pt idx="46">
                  <c:v>Titus, frozen</c:v>
                </c:pt>
                <c:pt idx="47">
                  <c:v>Tomatoes, fresh</c:v>
                </c:pt>
                <c:pt idx="48">
                  <c:v>Vegetable Oil, 75cl</c:v>
                </c:pt>
                <c:pt idx="49">
                  <c:v>Watermelon whole, medium size fresh</c:v>
                </c:pt>
                <c:pt idx="50">
                  <c:v>Wheat Flour, Prepacked (2kg)</c:v>
                </c:pt>
                <c:pt idx="51">
                  <c:v>Yam Tuber</c:v>
                </c:pt>
              </c:strCache>
            </c:strRef>
          </c:cat>
          <c:val>
            <c:numRef>
              <c:f>PIVOT_TABLE!$X$6:$X$58</c:f>
              <c:numCache>
                <c:formatCode>General</c:formatCode>
                <c:ptCount val="52"/>
                <c:pt idx="0">
                  <c:v>124.57913980023</c:v>
                </c:pt>
                <c:pt idx="1">
                  <c:v>135.73679823492901</c:v>
                </c:pt>
                <c:pt idx="2">
                  <c:v>224.36831340537699</c:v>
                </c:pt>
                <c:pt idx="3">
                  <c:v>218.144238171241</c:v>
                </c:pt>
                <c:pt idx="4">
                  <c:v>92.916593940689395</c:v>
                </c:pt>
                <c:pt idx="5">
                  <c:v>98.095869952174894</c:v>
                </c:pt>
                <c:pt idx="6">
                  <c:v>94.962031558311395</c:v>
                </c:pt>
                <c:pt idx="7">
                  <c:v>86.754307282832798</c:v>
                </c:pt>
                <c:pt idx="9">
                  <c:v>90.925118601750199</c:v>
                </c:pt>
                <c:pt idx="10">
                  <c:v>76.637169709692898</c:v>
                </c:pt>
                <c:pt idx="11">
                  <c:v>54.546335223407397</c:v>
                </c:pt>
                <c:pt idx="12">
                  <c:v>86.293616567987797</c:v>
                </c:pt>
                <c:pt idx="13">
                  <c:v>68.148552518354506</c:v>
                </c:pt>
                <c:pt idx="14">
                  <c:v>110.916580663516</c:v>
                </c:pt>
                <c:pt idx="16">
                  <c:v>73.271968281292004</c:v>
                </c:pt>
                <c:pt idx="18">
                  <c:v>119.580366763863</c:v>
                </c:pt>
                <c:pt idx="19">
                  <c:v>125.614658373441</c:v>
                </c:pt>
                <c:pt idx="22">
                  <c:v>82.026853287189496</c:v>
                </c:pt>
                <c:pt idx="24">
                  <c:v>74.344787229682396</c:v>
                </c:pt>
                <c:pt idx="25">
                  <c:v>103.86148204322799</c:v>
                </c:pt>
                <c:pt idx="26">
                  <c:v>164.33155671216099</c:v>
                </c:pt>
                <c:pt idx="27">
                  <c:v>90.642889945231104</c:v>
                </c:pt>
                <c:pt idx="28">
                  <c:v>107.58070724044001</c:v>
                </c:pt>
                <c:pt idx="29">
                  <c:v>108.02618078262999</c:v>
                </c:pt>
                <c:pt idx="30">
                  <c:v>94.108678158109498</c:v>
                </c:pt>
                <c:pt idx="31">
                  <c:v>79.233988189487107</c:v>
                </c:pt>
                <c:pt idx="32">
                  <c:v>174.65060629830501</c:v>
                </c:pt>
                <c:pt idx="33">
                  <c:v>80.036481660082202</c:v>
                </c:pt>
                <c:pt idx="34">
                  <c:v>122.0193703816</c:v>
                </c:pt>
                <c:pt idx="35">
                  <c:v>125.453412599941</c:v>
                </c:pt>
                <c:pt idx="36">
                  <c:v>122.795380515891</c:v>
                </c:pt>
                <c:pt idx="37">
                  <c:v>126.01696330796401</c:v>
                </c:pt>
                <c:pt idx="38">
                  <c:v>118.844817438508</c:v>
                </c:pt>
                <c:pt idx="39">
                  <c:v>124.773850635157</c:v>
                </c:pt>
                <c:pt idx="42">
                  <c:v>91.978924090503497</c:v>
                </c:pt>
                <c:pt idx="43">
                  <c:v>104.045277327761</c:v>
                </c:pt>
                <c:pt idx="44">
                  <c:v>88.145186748982198</c:v>
                </c:pt>
                <c:pt idx="45">
                  <c:v>86.015783900843402</c:v>
                </c:pt>
                <c:pt idx="46">
                  <c:v>91.335719689429993</c:v>
                </c:pt>
                <c:pt idx="47">
                  <c:v>94.052696938795606</c:v>
                </c:pt>
                <c:pt idx="48">
                  <c:v>95.446575120183894</c:v>
                </c:pt>
                <c:pt idx="50">
                  <c:v>102.659756409728</c:v>
                </c:pt>
                <c:pt idx="51">
                  <c:v>137.60197468046101</c:v>
                </c:pt>
              </c:numCache>
            </c:numRef>
          </c:val>
          <c:extLst>
            <c:ext xmlns:c16="http://schemas.microsoft.com/office/drawing/2014/chart" uri="{C3380CC4-5D6E-409C-BE32-E72D297353CC}">
              <c16:uniqueId val="{0000001A-19AC-4504-9DDE-495AE10D860F}"/>
            </c:ext>
          </c:extLst>
        </c:ser>
        <c:dLbls>
          <c:showLegendKey val="0"/>
          <c:showVal val="0"/>
          <c:showCatName val="0"/>
          <c:showSerName val="0"/>
          <c:showPercent val="0"/>
          <c:showBubbleSize val="0"/>
        </c:dLbls>
        <c:gapWidth val="219"/>
        <c:overlap val="-27"/>
        <c:axId val="1721238128"/>
        <c:axId val="1721239088"/>
      </c:barChart>
      <c:catAx>
        <c:axId val="172123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21239088"/>
        <c:crosses val="autoZero"/>
        <c:auto val="1"/>
        <c:lblAlgn val="ctr"/>
        <c:lblOffset val="100"/>
        <c:noMultiLvlLbl val="0"/>
      </c:catAx>
      <c:valAx>
        <c:axId val="172123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2123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[food_trend_dashboard_2024_2025.xlsx]PIVOT_TABLE!PivotTable3</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sz="1400" b="0" i="0" u="none" strike="noStrike" baseline="0">
                <a:solidFill>
                  <a:schemeClr val="bg1"/>
                </a:solidFill>
                <a:effectLst/>
                <a:latin typeface="Arial Black" panose="020B0A04020102020204" pitchFamily="34" charset="0"/>
              </a:rPr>
              <a:t>TOP 10 INFLATION RANKING </a:t>
            </a:r>
            <a:endParaRPr lang="en-US">
              <a:solidFill>
                <a:schemeClr val="bg1"/>
              </a:solidFill>
              <a:latin typeface="Arial Black" panose="020B0A04020102020204" pitchFamily="34" charset="0"/>
            </a:endParaRPr>
          </a:p>
        </c:rich>
      </c:tx>
      <c:layout>
        <c:manualLayout>
          <c:xMode val="edge"/>
          <c:yMode val="edge"/>
          <c:x val="0.29263188976377952"/>
          <c:y val="7.7682997958588504E-2"/>
        </c:manualLayout>
      </c:layout>
      <c:overlay val="0"/>
      <c:spPr>
        <a:solidFill>
          <a:schemeClr val="accent6">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FFFF00"/>
          </a:solidFill>
          <a:ln>
            <a:noFill/>
          </a:ln>
          <a:effectLst/>
        </c:spPr>
      </c:pivotFmt>
      <c:pivotFmt>
        <c:idx val="5"/>
        <c:spPr>
          <a:solidFill>
            <a:srgbClr val="00B050"/>
          </a:solidFill>
          <a:ln>
            <a:noFill/>
          </a:ln>
          <a:effectLst/>
        </c:spPr>
      </c:pivotFmt>
      <c:pivotFmt>
        <c:idx val="6"/>
        <c:spPr>
          <a:solidFill>
            <a:srgbClr val="00B050"/>
          </a:solidFill>
          <a:ln>
            <a:noFill/>
          </a:ln>
          <a:effectLst/>
        </c:spPr>
      </c:pivotFmt>
      <c:pivotFmt>
        <c:idx val="7"/>
        <c:spPr>
          <a:solidFill>
            <a:srgbClr val="00B050"/>
          </a:solidFill>
          <a:ln>
            <a:noFill/>
          </a:ln>
          <a:effectLst/>
        </c:spPr>
      </c:pivotFmt>
      <c:pivotFmt>
        <c:idx val="8"/>
        <c:spPr>
          <a:solidFill>
            <a:srgbClr val="00B050"/>
          </a:solidFill>
          <a:ln>
            <a:noFill/>
          </a:ln>
          <a:effectLst/>
        </c:spPr>
      </c:pivotFmt>
      <c:pivotFmt>
        <c:idx val="9"/>
        <c:spPr>
          <a:solidFill>
            <a:srgbClr val="00B050"/>
          </a:solidFill>
          <a:ln>
            <a:noFill/>
          </a:ln>
          <a:effectLst/>
        </c:spPr>
      </c:pivotFmt>
      <c:pivotFmt>
        <c:idx val="10"/>
        <c:spPr>
          <a:solidFill>
            <a:srgbClr val="00B050"/>
          </a:solidFill>
          <a:ln>
            <a:noFill/>
          </a:ln>
          <a:effectLst/>
        </c:spPr>
      </c:pivotFmt>
      <c:pivotFmt>
        <c:idx val="11"/>
        <c:spPr>
          <a:solidFill>
            <a:srgbClr val="FFFF00"/>
          </a:solidFill>
          <a:ln>
            <a:noFill/>
          </a:ln>
          <a:effectLst/>
        </c:spPr>
      </c:pivotFmt>
      <c:pivotFmt>
        <c:idx val="12"/>
        <c:spPr>
          <a:solidFill>
            <a:srgbClr val="FFFF00"/>
          </a:solidFill>
          <a:ln>
            <a:noFill/>
          </a:ln>
          <a:effectLst/>
        </c:spPr>
      </c:pivotFmt>
      <c:pivotFmt>
        <c:idx val="13"/>
        <c:spPr>
          <a:solidFill>
            <a:srgbClr val="FFFF00"/>
          </a:solidFill>
          <a:ln>
            <a:noFill/>
          </a:ln>
          <a:effectLst/>
        </c:spPr>
      </c:pivotFmt>
      <c:pivotFmt>
        <c:idx val="14"/>
        <c:spPr>
          <a:solidFill>
            <a:srgbClr val="FFFF00"/>
          </a:solidFill>
          <a:ln>
            <a:noFill/>
          </a:ln>
          <a:effectLst/>
        </c:spPr>
      </c:pivotFmt>
      <c:pivotFmt>
        <c:idx val="15"/>
        <c:spPr>
          <a:solidFill>
            <a:srgbClr val="FFFF00"/>
          </a:solidFill>
          <a:ln>
            <a:noFill/>
          </a:ln>
          <a:effectLst/>
        </c:spPr>
      </c:pivotFmt>
      <c:pivotFmt>
        <c:idx val="16"/>
        <c:spPr>
          <a:solidFill>
            <a:srgbClr val="FFFF00"/>
          </a:solidFill>
          <a:ln>
            <a:noFill/>
          </a:ln>
          <a:effectLst/>
        </c:spPr>
      </c:pivotFmt>
      <c:pivotFmt>
        <c:idx val="17"/>
        <c:spPr>
          <a:solidFill>
            <a:srgbClr val="FFFF00"/>
          </a:solidFill>
          <a:ln>
            <a:noFill/>
          </a:ln>
          <a:effectLst/>
        </c:spPr>
      </c:pivotFmt>
      <c:pivotFmt>
        <c:idx val="18"/>
        <c:spPr>
          <a:solidFill>
            <a:srgbClr val="FFFF00"/>
          </a:solidFill>
          <a:ln>
            <a:solidFill>
              <a:srgbClr val="FFFF00"/>
            </a:solidFill>
          </a:ln>
          <a:effectLst/>
        </c:spPr>
      </c:pivotFmt>
      <c:pivotFmt>
        <c:idx val="19"/>
        <c:spPr>
          <a:solidFill>
            <a:srgbClr val="FFFF00"/>
          </a:solidFill>
          <a:ln>
            <a:noFill/>
          </a:ln>
          <a:effectLst/>
        </c:spPr>
      </c:pivotFmt>
      <c:pivotFmt>
        <c:idx val="20"/>
        <c:spPr>
          <a:solidFill>
            <a:srgbClr val="FFC000"/>
          </a:solidFill>
          <a:ln>
            <a:noFill/>
          </a:ln>
          <a:effectLst/>
        </c:spPr>
      </c:pivotFmt>
      <c:pivotFmt>
        <c:idx val="21"/>
        <c:spPr>
          <a:solidFill>
            <a:srgbClr val="FFC000"/>
          </a:solidFill>
          <a:ln>
            <a:noFill/>
          </a:ln>
          <a:effectLst/>
        </c:spPr>
      </c:pivotFmt>
      <c:pivotFmt>
        <c:idx val="22"/>
        <c:spPr>
          <a:solidFill>
            <a:srgbClr val="FFC000"/>
          </a:solidFill>
          <a:ln>
            <a:noFill/>
          </a:ln>
          <a:effectLst/>
        </c:spPr>
      </c:pivotFmt>
      <c:pivotFmt>
        <c:idx val="23"/>
        <c:spPr>
          <a:solidFill>
            <a:srgbClr val="FFC000"/>
          </a:solidFill>
          <a:ln>
            <a:noFill/>
          </a:ln>
          <a:effectLst/>
        </c:spPr>
      </c:pivotFmt>
      <c:pivotFmt>
        <c:idx val="24"/>
        <c:spPr>
          <a:solidFill>
            <a:srgbClr val="FFC000"/>
          </a:solidFill>
          <a:ln>
            <a:noFill/>
          </a:ln>
          <a:effectLst/>
        </c:spPr>
      </c:pivotFmt>
      <c:pivotFmt>
        <c:idx val="25"/>
        <c:spPr>
          <a:solidFill>
            <a:srgbClr val="FFC000"/>
          </a:solidFill>
          <a:ln>
            <a:noFill/>
          </a:ln>
          <a:effectLst/>
        </c:spPr>
      </c:pivotFmt>
      <c:pivotFmt>
        <c:idx val="26"/>
        <c:spPr>
          <a:solidFill>
            <a:schemeClr val="tx2">
              <a:lumMod val="60000"/>
              <a:lumOff val="40000"/>
            </a:schemeClr>
          </a:solidFill>
          <a:ln>
            <a:noFill/>
          </a:ln>
          <a:effectLst/>
        </c:spPr>
      </c:pivotFmt>
      <c:pivotFmt>
        <c:idx val="27"/>
        <c:spPr>
          <a:solidFill>
            <a:schemeClr val="tx2">
              <a:lumMod val="60000"/>
              <a:lumOff val="40000"/>
            </a:schemeClr>
          </a:solidFill>
          <a:ln>
            <a:noFill/>
          </a:ln>
          <a:effectLst/>
        </c:spPr>
      </c:pivotFmt>
      <c:pivotFmt>
        <c:idx val="28"/>
        <c:spPr>
          <a:solidFill>
            <a:schemeClr val="tx2">
              <a:lumMod val="60000"/>
              <a:lumOff val="40000"/>
            </a:schemeClr>
          </a:solidFill>
          <a:ln>
            <a:noFill/>
          </a:ln>
          <a:effectLst/>
        </c:spPr>
      </c:pivotFmt>
      <c:pivotFmt>
        <c:idx val="29"/>
        <c:spPr>
          <a:solidFill>
            <a:schemeClr val="tx2">
              <a:lumMod val="60000"/>
              <a:lumOff val="40000"/>
            </a:schemeClr>
          </a:solidFill>
          <a:ln>
            <a:noFill/>
          </a:ln>
          <a:effectLst/>
        </c:spPr>
      </c:pivotFmt>
      <c:pivotFmt>
        <c:idx val="30"/>
        <c:spPr>
          <a:solidFill>
            <a:schemeClr val="tx2">
              <a:lumMod val="60000"/>
              <a:lumOff val="40000"/>
            </a:schemeClr>
          </a:solidFill>
          <a:ln>
            <a:noFill/>
          </a:ln>
          <a:effectLst/>
        </c:spPr>
      </c:pivotFmt>
      <c:pivotFmt>
        <c:idx val="31"/>
        <c:spPr>
          <a:solidFill>
            <a:schemeClr val="tx2">
              <a:lumMod val="60000"/>
              <a:lumOff val="40000"/>
            </a:schemeClr>
          </a:solidFill>
          <a:ln>
            <a:noFill/>
          </a:ln>
          <a:effectLst/>
        </c:spPr>
      </c:pivotFmt>
      <c:pivotFmt>
        <c:idx val="32"/>
        <c:spPr>
          <a:solidFill>
            <a:schemeClr val="tx2">
              <a:lumMod val="60000"/>
              <a:lumOff val="40000"/>
            </a:schemeClr>
          </a:solidFill>
          <a:ln>
            <a:noFill/>
          </a:ln>
          <a:effectLst/>
        </c:spPr>
      </c:pivotFmt>
      <c:pivotFmt>
        <c:idx val="33"/>
        <c:spPr>
          <a:solidFill>
            <a:schemeClr val="tx2">
              <a:lumMod val="60000"/>
              <a:lumOff val="40000"/>
            </a:schemeClr>
          </a:solidFill>
          <a:ln>
            <a:noFill/>
          </a:ln>
          <a:effectLst/>
        </c:spPr>
      </c:pivotFmt>
      <c:pivotFmt>
        <c:idx val="34"/>
        <c:spPr>
          <a:solidFill>
            <a:schemeClr val="tx2">
              <a:lumMod val="60000"/>
              <a:lumOff val="40000"/>
            </a:schemeClr>
          </a:solidFill>
          <a:ln>
            <a:noFill/>
          </a:ln>
          <a:effectLst/>
        </c:spPr>
      </c:pivotFmt>
      <c:pivotFmt>
        <c:idx val="35"/>
        <c:spPr>
          <a:solidFill>
            <a:schemeClr val="tx2">
              <a:lumMod val="60000"/>
              <a:lumOff val="40000"/>
            </a:schemeClr>
          </a:solidFill>
          <a:ln>
            <a:noFill/>
          </a:ln>
          <a:effectLst/>
        </c:spPr>
      </c:pivotFmt>
      <c:pivotFmt>
        <c:idx val="36"/>
        <c:spPr>
          <a:solidFill>
            <a:schemeClr val="tx2">
              <a:lumMod val="60000"/>
              <a:lumOff val="40000"/>
            </a:schemeClr>
          </a:solidFill>
          <a:ln>
            <a:noFill/>
          </a:ln>
          <a:effectLst/>
        </c:spPr>
      </c:pivotFmt>
      <c:pivotFmt>
        <c:idx val="37"/>
        <c:spPr>
          <a:solidFill>
            <a:schemeClr val="tx2">
              <a:lumMod val="60000"/>
              <a:lumOff val="40000"/>
            </a:schemeClr>
          </a:solidFill>
          <a:ln>
            <a:noFill/>
          </a:ln>
          <a:effectLst/>
        </c:spPr>
      </c:pivotFmt>
      <c:pivotFmt>
        <c:idx val="38"/>
        <c:spPr>
          <a:solidFill>
            <a:schemeClr val="tx2">
              <a:lumMod val="60000"/>
              <a:lumOff val="40000"/>
            </a:schemeClr>
          </a:solidFill>
          <a:ln>
            <a:noFill/>
          </a:ln>
          <a:effectLst/>
        </c:spPr>
      </c:pivotFmt>
      <c:pivotFmt>
        <c:idx val="39"/>
        <c:spPr>
          <a:solidFill>
            <a:schemeClr val="tx2">
              <a:lumMod val="60000"/>
              <a:lumOff val="40000"/>
            </a:schemeClr>
          </a:solidFill>
          <a:ln>
            <a:noFill/>
          </a:ln>
          <a:effectLst/>
        </c:spPr>
      </c:pivotFmt>
      <c:pivotFmt>
        <c:idx val="40"/>
        <c:spPr>
          <a:solidFill>
            <a:srgbClr val="C00000"/>
          </a:solidFill>
          <a:ln>
            <a:noFill/>
          </a:ln>
          <a:effectLst/>
        </c:spPr>
      </c:pivotFmt>
      <c:pivotFmt>
        <c:idx val="41"/>
        <c:spPr>
          <a:solidFill>
            <a:srgbClr val="C00000"/>
          </a:solidFill>
          <a:ln>
            <a:noFill/>
          </a:ln>
          <a:effectLst/>
        </c:spPr>
      </c:pivotFmt>
      <c:pivotFmt>
        <c:idx val="42"/>
        <c:spPr>
          <a:solidFill>
            <a:srgbClr val="C00000"/>
          </a:solidFill>
          <a:ln>
            <a:noFill/>
          </a:ln>
          <a:effectLst/>
        </c:spPr>
      </c:pivotFmt>
      <c:pivotFmt>
        <c:idx val="43"/>
        <c:spPr>
          <a:solidFill>
            <a:srgbClr val="C00000"/>
          </a:solidFill>
          <a:ln>
            <a:noFill/>
          </a:ln>
          <a:effectLst/>
        </c:spPr>
      </c:pivotFmt>
      <c:pivotFmt>
        <c:idx val="44"/>
        <c:spPr>
          <a:solidFill>
            <a:srgbClr val="C00000"/>
          </a:solidFill>
          <a:ln>
            <a:noFill/>
          </a:ln>
          <a:effectLst/>
        </c:spPr>
      </c:pivotFmt>
      <c:pivotFmt>
        <c:idx val="45"/>
        <c:spPr>
          <a:solidFill>
            <a:srgbClr val="C00000"/>
          </a:solidFill>
          <a:ln>
            <a:noFill/>
          </a:ln>
          <a:effectLst/>
        </c:spPr>
      </c:pivotFmt>
    </c:pivotFmts>
    <c:plotArea>
      <c:layout>
        <c:manualLayout>
          <c:layoutTarget val="inner"/>
          <c:xMode val="edge"/>
          <c:yMode val="edge"/>
          <c:x val="0.4179554908529195"/>
          <c:y val="0.19529739741495503"/>
          <c:w val="0.25693242363773128"/>
          <c:h val="0.74798393756661863"/>
        </c:manualLayout>
      </c:layout>
      <c:barChart>
        <c:barDir val="bar"/>
        <c:grouping val="clustered"/>
        <c:varyColors val="0"/>
        <c:ser>
          <c:idx val="0"/>
          <c:order val="0"/>
          <c:tx>
            <c:strRef>
              <c:f>PIVOT_TABLE!$AE$26</c:f>
              <c:strCache>
                <c:ptCount val="1"/>
                <c:pt idx="0">
                  <c:v>Total</c:v>
                </c:pt>
              </c:strCache>
            </c:strRef>
          </c:tx>
          <c:spPr>
            <a:solidFill>
              <a:srgbClr val="00B050"/>
            </a:solidFill>
            <a:ln>
              <a:noFill/>
            </a:ln>
            <a:effectLst/>
          </c:spPr>
          <c:invertIfNegative val="0"/>
          <c:dPt>
            <c:idx val="7"/>
            <c:invertIfNegative val="0"/>
            <c:bubble3D val="0"/>
            <c:spPr>
              <a:solidFill>
                <a:srgbClr val="FFFF00"/>
              </a:solidFill>
              <a:ln>
                <a:noFill/>
              </a:ln>
              <a:effectLst/>
            </c:spPr>
            <c:extLst>
              <c:ext xmlns:c16="http://schemas.microsoft.com/office/drawing/2014/chart" uri="{C3380CC4-5D6E-409C-BE32-E72D297353CC}">
                <c16:uniqueId val="{00000002-BA38-4553-BA9D-9F9D19D8F190}"/>
              </c:ext>
            </c:extLst>
          </c:dPt>
          <c:dPt>
            <c:idx val="8"/>
            <c:invertIfNegative val="0"/>
            <c:bubble3D val="0"/>
            <c:spPr>
              <a:solidFill>
                <a:srgbClr val="FFFF00"/>
              </a:solidFill>
              <a:ln>
                <a:noFill/>
              </a:ln>
              <a:effectLst/>
            </c:spPr>
            <c:extLst>
              <c:ext xmlns:c16="http://schemas.microsoft.com/office/drawing/2014/chart" uri="{C3380CC4-5D6E-409C-BE32-E72D297353CC}">
                <c16:uniqueId val="{00000009-BA38-4553-BA9D-9F9D19D8F190}"/>
              </c:ext>
            </c:extLst>
          </c:dPt>
          <c:dPt>
            <c:idx val="9"/>
            <c:invertIfNegative val="0"/>
            <c:bubble3D val="0"/>
            <c:spPr>
              <a:solidFill>
                <a:srgbClr val="FFFF00"/>
              </a:solidFill>
              <a:ln>
                <a:noFill/>
              </a:ln>
              <a:effectLst/>
            </c:spPr>
            <c:extLst>
              <c:ext xmlns:c16="http://schemas.microsoft.com/office/drawing/2014/chart" uri="{C3380CC4-5D6E-409C-BE32-E72D297353CC}">
                <c16:uniqueId val="{0000000A-BA38-4553-BA9D-9F9D19D8F190}"/>
              </c:ext>
            </c:extLst>
          </c:dPt>
          <c:dPt>
            <c:idx val="10"/>
            <c:invertIfNegative val="0"/>
            <c:bubble3D val="0"/>
            <c:spPr>
              <a:solidFill>
                <a:srgbClr val="FFFF00"/>
              </a:solidFill>
              <a:ln>
                <a:noFill/>
              </a:ln>
              <a:effectLst/>
            </c:spPr>
            <c:extLst>
              <c:ext xmlns:c16="http://schemas.microsoft.com/office/drawing/2014/chart" uri="{C3380CC4-5D6E-409C-BE32-E72D297353CC}">
                <c16:uniqueId val="{0000000B-BA38-4553-BA9D-9F9D19D8F190}"/>
              </c:ext>
            </c:extLst>
          </c:dPt>
          <c:dPt>
            <c:idx val="11"/>
            <c:invertIfNegative val="0"/>
            <c:bubble3D val="0"/>
            <c:spPr>
              <a:solidFill>
                <a:srgbClr val="FFFF00"/>
              </a:solidFill>
              <a:ln>
                <a:noFill/>
              </a:ln>
              <a:effectLst/>
            </c:spPr>
            <c:extLst>
              <c:ext xmlns:c16="http://schemas.microsoft.com/office/drawing/2014/chart" uri="{C3380CC4-5D6E-409C-BE32-E72D297353CC}">
                <c16:uniqueId val="{0000000C-BA38-4553-BA9D-9F9D19D8F190}"/>
              </c:ext>
            </c:extLst>
          </c:dPt>
          <c:dPt>
            <c:idx val="12"/>
            <c:invertIfNegative val="0"/>
            <c:bubble3D val="0"/>
            <c:spPr>
              <a:solidFill>
                <a:srgbClr val="FFFF00"/>
              </a:solidFill>
              <a:ln>
                <a:noFill/>
              </a:ln>
              <a:effectLst/>
            </c:spPr>
            <c:extLst>
              <c:ext xmlns:c16="http://schemas.microsoft.com/office/drawing/2014/chart" uri="{C3380CC4-5D6E-409C-BE32-E72D297353CC}">
                <c16:uniqueId val="{0000000D-BA38-4553-BA9D-9F9D19D8F190}"/>
              </c:ext>
            </c:extLst>
          </c:dPt>
          <c:dPt>
            <c:idx val="13"/>
            <c:invertIfNegative val="0"/>
            <c:bubble3D val="0"/>
            <c:spPr>
              <a:solidFill>
                <a:srgbClr val="FFFF00"/>
              </a:solidFill>
              <a:ln>
                <a:noFill/>
              </a:ln>
              <a:effectLst/>
            </c:spPr>
            <c:extLst>
              <c:ext xmlns:c16="http://schemas.microsoft.com/office/drawing/2014/chart" uri="{C3380CC4-5D6E-409C-BE32-E72D297353CC}">
                <c16:uniqueId val="{0000000E-BA38-4553-BA9D-9F9D19D8F190}"/>
              </c:ext>
            </c:extLst>
          </c:dPt>
          <c:dPt>
            <c:idx val="14"/>
            <c:invertIfNegative val="0"/>
            <c:bubble3D val="0"/>
            <c:spPr>
              <a:solidFill>
                <a:srgbClr val="FFFF00"/>
              </a:solidFill>
              <a:ln>
                <a:noFill/>
              </a:ln>
              <a:effectLst/>
            </c:spPr>
            <c:extLst>
              <c:ext xmlns:c16="http://schemas.microsoft.com/office/drawing/2014/chart" uri="{C3380CC4-5D6E-409C-BE32-E72D297353CC}">
                <c16:uniqueId val="{0000000F-BA38-4553-BA9D-9F9D19D8F190}"/>
              </c:ext>
            </c:extLst>
          </c:dPt>
          <c:dPt>
            <c:idx val="15"/>
            <c:invertIfNegative val="0"/>
            <c:bubble3D val="0"/>
            <c:spPr>
              <a:solidFill>
                <a:srgbClr val="FFFF00"/>
              </a:solidFill>
              <a:ln>
                <a:solidFill>
                  <a:srgbClr val="FFFF00"/>
                </a:solidFill>
              </a:ln>
              <a:effectLst/>
            </c:spPr>
            <c:extLst>
              <c:ext xmlns:c16="http://schemas.microsoft.com/office/drawing/2014/chart" uri="{C3380CC4-5D6E-409C-BE32-E72D297353CC}">
                <c16:uniqueId val="{00000010-BA38-4553-BA9D-9F9D19D8F190}"/>
              </c:ext>
            </c:extLst>
          </c:dPt>
          <c:dPt>
            <c:idx val="16"/>
            <c:invertIfNegative val="0"/>
            <c:bubble3D val="0"/>
            <c:spPr>
              <a:solidFill>
                <a:srgbClr val="FFFF00"/>
              </a:solidFill>
              <a:ln>
                <a:noFill/>
              </a:ln>
              <a:effectLst/>
            </c:spPr>
            <c:extLst>
              <c:ext xmlns:c16="http://schemas.microsoft.com/office/drawing/2014/chart" uri="{C3380CC4-5D6E-409C-BE32-E72D297353CC}">
                <c16:uniqueId val="{00000011-BA38-4553-BA9D-9F9D19D8F190}"/>
              </c:ext>
            </c:extLst>
          </c:dPt>
          <c:dPt>
            <c:idx val="17"/>
            <c:invertIfNegative val="0"/>
            <c:bubble3D val="0"/>
            <c:spPr>
              <a:solidFill>
                <a:srgbClr val="FFC000"/>
              </a:solidFill>
              <a:ln>
                <a:noFill/>
              </a:ln>
              <a:effectLst/>
            </c:spPr>
            <c:extLst>
              <c:ext xmlns:c16="http://schemas.microsoft.com/office/drawing/2014/chart" uri="{C3380CC4-5D6E-409C-BE32-E72D297353CC}">
                <c16:uniqueId val="{00000012-BA38-4553-BA9D-9F9D19D8F190}"/>
              </c:ext>
            </c:extLst>
          </c:dPt>
          <c:dPt>
            <c:idx val="18"/>
            <c:invertIfNegative val="0"/>
            <c:bubble3D val="0"/>
            <c:spPr>
              <a:solidFill>
                <a:srgbClr val="FFC000"/>
              </a:solidFill>
              <a:ln>
                <a:noFill/>
              </a:ln>
              <a:effectLst/>
            </c:spPr>
            <c:extLst>
              <c:ext xmlns:c16="http://schemas.microsoft.com/office/drawing/2014/chart" uri="{C3380CC4-5D6E-409C-BE32-E72D297353CC}">
                <c16:uniqueId val="{00000013-BA38-4553-BA9D-9F9D19D8F190}"/>
              </c:ext>
            </c:extLst>
          </c:dPt>
          <c:dPt>
            <c:idx val="19"/>
            <c:invertIfNegative val="0"/>
            <c:bubble3D val="0"/>
            <c:spPr>
              <a:solidFill>
                <a:srgbClr val="FFC000"/>
              </a:solidFill>
              <a:ln>
                <a:noFill/>
              </a:ln>
              <a:effectLst/>
            </c:spPr>
            <c:extLst>
              <c:ext xmlns:c16="http://schemas.microsoft.com/office/drawing/2014/chart" uri="{C3380CC4-5D6E-409C-BE32-E72D297353CC}">
                <c16:uniqueId val="{00000014-BA38-4553-BA9D-9F9D19D8F190}"/>
              </c:ext>
            </c:extLst>
          </c:dPt>
          <c:dPt>
            <c:idx val="20"/>
            <c:invertIfNegative val="0"/>
            <c:bubble3D val="0"/>
            <c:spPr>
              <a:solidFill>
                <a:srgbClr val="FFC000"/>
              </a:solidFill>
              <a:ln>
                <a:noFill/>
              </a:ln>
              <a:effectLst/>
            </c:spPr>
            <c:extLst>
              <c:ext xmlns:c16="http://schemas.microsoft.com/office/drawing/2014/chart" uri="{C3380CC4-5D6E-409C-BE32-E72D297353CC}">
                <c16:uniqueId val="{00000017-BA38-4553-BA9D-9F9D19D8F190}"/>
              </c:ext>
            </c:extLst>
          </c:dPt>
          <c:dPt>
            <c:idx val="21"/>
            <c:invertIfNegative val="0"/>
            <c:bubble3D val="0"/>
            <c:spPr>
              <a:solidFill>
                <a:srgbClr val="FFC000"/>
              </a:solidFill>
              <a:ln>
                <a:noFill/>
              </a:ln>
              <a:effectLst/>
            </c:spPr>
            <c:extLst>
              <c:ext xmlns:c16="http://schemas.microsoft.com/office/drawing/2014/chart" uri="{C3380CC4-5D6E-409C-BE32-E72D297353CC}">
                <c16:uniqueId val="{00000018-BA38-4553-BA9D-9F9D19D8F190}"/>
              </c:ext>
            </c:extLst>
          </c:dPt>
          <c:dPt>
            <c:idx val="22"/>
            <c:invertIfNegative val="0"/>
            <c:bubble3D val="0"/>
            <c:spPr>
              <a:solidFill>
                <a:srgbClr val="FFC000"/>
              </a:solidFill>
              <a:ln>
                <a:noFill/>
              </a:ln>
              <a:effectLst/>
            </c:spPr>
            <c:extLst>
              <c:ext xmlns:c16="http://schemas.microsoft.com/office/drawing/2014/chart" uri="{C3380CC4-5D6E-409C-BE32-E72D297353CC}">
                <c16:uniqueId val="{00000019-BA38-4553-BA9D-9F9D19D8F190}"/>
              </c:ext>
            </c:extLst>
          </c:dPt>
          <c:dPt>
            <c:idx val="2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1A-BA38-4553-BA9D-9F9D19D8F190}"/>
              </c:ext>
            </c:extLst>
          </c:dPt>
          <c:dPt>
            <c:idx val="24"/>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1B-BA38-4553-BA9D-9F9D19D8F190}"/>
              </c:ext>
            </c:extLst>
          </c:dPt>
          <c:dPt>
            <c:idx val="25"/>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1C-BA38-4553-BA9D-9F9D19D8F190}"/>
              </c:ext>
            </c:extLst>
          </c:dPt>
          <c:dPt>
            <c:idx val="26"/>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1D-BA38-4553-BA9D-9F9D19D8F190}"/>
              </c:ext>
            </c:extLst>
          </c:dPt>
          <c:dPt>
            <c:idx val="27"/>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1E-BA38-4553-BA9D-9F9D19D8F190}"/>
              </c:ext>
            </c:extLst>
          </c:dPt>
          <c:dPt>
            <c:idx val="28"/>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1F-BA38-4553-BA9D-9F9D19D8F190}"/>
              </c:ext>
            </c:extLst>
          </c:dPt>
          <c:dPt>
            <c:idx val="29"/>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22-BA38-4553-BA9D-9F9D19D8F190}"/>
              </c:ext>
            </c:extLst>
          </c:dPt>
          <c:dPt>
            <c:idx val="3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23-BA38-4553-BA9D-9F9D19D8F190}"/>
              </c:ext>
            </c:extLst>
          </c:dPt>
          <c:dPt>
            <c:idx val="31"/>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24-BA38-4553-BA9D-9F9D19D8F190}"/>
              </c:ext>
            </c:extLst>
          </c:dPt>
          <c:dPt>
            <c:idx val="3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26-BA38-4553-BA9D-9F9D19D8F190}"/>
              </c:ext>
            </c:extLst>
          </c:dPt>
          <c:dPt>
            <c:idx val="3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25-BA38-4553-BA9D-9F9D19D8F190}"/>
              </c:ext>
            </c:extLst>
          </c:dPt>
          <c:dPt>
            <c:idx val="34"/>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27-BA38-4553-BA9D-9F9D19D8F190}"/>
              </c:ext>
            </c:extLst>
          </c:dPt>
          <c:dPt>
            <c:idx val="35"/>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21-BA38-4553-BA9D-9F9D19D8F190}"/>
              </c:ext>
            </c:extLst>
          </c:dPt>
          <c:dPt>
            <c:idx val="36"/>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20-BA38-4553-BA9D-9F9D19D8F190}"/>
              </c:ext>
            </c:extLst>
          </c:dPt>
          <c:dPt>
            <c:idx val="37"/>
            <c:invertIfNegative val="0"/>
            <c:bubble3D val="0"/>
            <c:spPr>
              <a:solidFill>
                <a:srgbClr val="C00000"/>
              </a:solidFill>
              <a:ln>
                <a:noFill/>
              </a:ln>
              <a:effectLst/>
            </c:spPr>
            <c:extLst>
              <c:ext xmlns:c16="http://schemas.microsoft.com/office/drawing/2014/chart" uri="{C3380CC4-5D6E-409C-BE32-E72D297353CC}">
                <c16:uniqueId val="{00000028-BA38-4553-BA9D-9F9D19D8F190}"/>
              </c:ext>
            </c:extLst>
          </c:dPt>
          <c:dPt>
            <c:idx val="38"/>
            <c:invertIfNegative val="0"/>
            <c:bubble3D val="0"/>
            <c:spPr>
              <a:solidFill>
                <a:srgbClr val="C00000"/>
              </a:solidFill>
              <a:ln>
                <a:noFill/>
              </a:ln>
              <a:effectLst/>
            </c:spPr>
            <c:extLst>
              <c:ext xmlns:c16="http://schemas.microsoft.com/office/drawing/2014/chart" uri="{C3380CC4-5D6E-409C-BE32-E72D297353CC}">
                <c16:uniqueId val="{00000029-BA38-4553-BA9D-9F9D19D8F190}"/>
              </c:ext>
            </c:extLst>
          </c:dPt>
          <c:dPt>
            <c:idx val="39"/>
            <c:invertIfNegative val="0"/>
            <c:bubble3D val="0"/>
            <c:spPr>
              <a:solidFill>
                <a:srgbClr val="C00000"/>
              </a:solidFill>
              <a:ln>
                <a:noFill/>
              </a:ln>
              <a:effectLst/>
            </c:spPr>
            <c:extLst>
              <c:ext xmlns:c16="http://schemas.microsoft.com/office/drawing/2014/chart" uri="{C3380CC4-5D6E-409C-BE32-E72D297353CC}">
                <c16:uniqueId val="{0000002A-BA38-4553-BA9D-9F9D19D8F190}"/>
              </c:ext>
            </c:extLst>
          </c:dPt>
          <c:dPt>
            <c:idx val="40"/>
            <c:invertIfNegative val="0"/>
            <c:bubble3D val="0"/>
            <c:spPr>
              <a:solidFill>
                <a:srgbClr val="C00000"/>
              </a:solidFill>
              <a:ln>
                <a:noFill/>
              </a:ln>
              <a:effectLst/>
            </c:spPr>
            <c:extLst>
              <c:ext xmlns:c16="http://schemas.microsoft.com/office/drawing/2014/chart" uri="{C3380CC4-5D6E-409C-BE32-E72D297353CC}">
                <c16:uniqueId val="{0000002B-BA38-4553-BA9D-9F9D19D8F190}"/>
              </c:ext>
            </c:extLst>
          </c:dPt>
          <c:dPt>
            <c:idx val="41"/>
            <c:invertIfNegative val="0"/>
            <c:bubble3D val="0"/>
            <c:spPr>
              <a:solidFill>
                <a:srgbClr val="C00000"/>
              </a:solidFill>
              <a:ln>
                <a:noFill/>
              </a:ln>
              <a:effectLst/>
            </c:spPr>
            <c:extLst>
              <c:ext xmlns:c16="http://schemas.microsoft.com/office/drawing/2014/chart" uri="{C3380CC4-5D6E-409C-BE32-E72D297353CC}">
                <c16:uniqueId val="{0000002C-BA38-4553-BA9D-9F9D19D8F190}"/>
              </c:ext>
            </c:extLst>
          </c:dPt>
          <c:dPt>
            <c:idx val="42"/>
            <c:invertIfNegative val="0"/>
            <c:bubble3D val="0"/>
            <c:spPr>
              <a:solidFill>
                <a:srgbClr val="C00000"/>
              </a:solidFill>
              <a:ln>
                <a:noFill/>
              </a:ln>
              <a:effectLst/>
            </c:spPr>
            <c:extLst>
              <c:ext xmlns:c16="http://schemas.microsoft.com/office/drawing/2014/chart" uri="{C3380CC4-5D6E-409C-BE32-E72D297353CC}">
                <c16:uniqueId val="{0000002D-BA38-4553-BA9D-9F9D19D8F190}"/>
              </c:ext>
            </c:extLst>
          </c:dPt>
          <c:cat>
            <c:strRef>
              <c:f>PIVOT_TABLE!$AD$27:$AD$79</c:f>
              <c:strCache>
                <c:ptCount val="52"/>
                <c:pt idx="0">
                  <c:v>Local Rice (Broken)</c:v>
                </c:pt>
                <c:pt idx="1">
                  <c:v>Beans Brown</c:v>
                </c:pt>
                <c:pt idx="2">
                  <c:v>Plantain (unripe)</c:v>
                </c:pt>
                <c:pt idx="3">
                  <c:v>Agric hen eggs, (a Crate of 30 pieces)</c:v>
                </c:pt>
                <c:pt idx="4">
                  <c:v>Beans white</c:v>
                </c:pt>
                <c:pt idx="5">
                  <c:v>Rice Medium Grained</c:v>
                </c:pt>
                <c:pt idx="6">
                  <c:v>Plantain (ripe)</c:v>
                </c:pt>
                <c:pt idx="7">
                  <c:v>Rice agric sold loose</c:v>
                </c:pt>
                <c:pt idx="8">
                  <c:v>Yam Tuber</c:v>
                </c:pt>
                <c:pt idx="9">
                  <c:v>Tilapia fresh fish (Epiya)</c:v>
                </c:pt>
                <c:pt idx="10">
                  <c:v>Maize grain yellow sold loose</c:v>
                </c:pt>
                <c:pt idx="11">
                  <c:v>Agric hen eggs</c:v>
                </c:pt>
                <c:pt idx="12">
                  <c:v>Garri Yellow</c:v>
                </c:pt>
                <c:pt idx="13">
                  <c:v>Garri white</c:v>
                </c:pt>
                <c:pt idx="14">
                  <c:v>Beef Bone in</c:v>
                </c:pt>
                <c:pt idx="15">
                  <c:v>Bread (sliced), 450g</c:v>
                </c:pt>
                <c:pt idx="16">
                  <c:v>Mudfish (aro) fresh</c:v>
                </c:pt>
                <c:pt idx="17">
                  <c:v>Titus, frozen</c:v>
                </c:pt>
                <c:pt idx="18">
                  <c:v>Cat fresh fish</c:v>
                </c:pt>
                <c:pt idx="19">
                  <c:v>Mackerel, Frozen</c:v>
                </c:pt>
                <c:pt idx="20">
                  <c:v>Rice Local, short-Grained</c:v>
                </c:pt>
                <c:pt idx="21">
                  <c:v>Bread (unsliced), 450g</c:v>
                </c:pt>
                <c:pt idx="22">
                  <c:v>Tin Milk-Evaporated, Three Crown Milk, 160g</c:v>
                </c:pt>
                <c:pt idx="23">
                  <c:v>Groundnut oil, 75cl</c:v>
                </c:pt>
                <c:pt idx="24">
                  <c:v>Onions, fresh</c:v>
                </c:pt>
                <c:pt idx="25">
                  <c:v>Rice Long-Grained (Imported)</c:v>
                </c:pt>
                <c:pt idx="26">
                  <c:v>Wheat Flour, Prepacked (2kg)</c:v>
                </c:pt>
                <c:pt idx="27">
                  <c:v>Mudfish : dried</c:v>
                </c:pt>
                <c:pt idx="28">
                  <c:v>Maize (Corn) Grains (White) sold loose</c:v>
                </c:pt>
                <c:pt idx="29">
                  <c:v>Catfish :dried</c:v>
                </c:pt>
                <c:pt idx="30">
                  <c:v>Vegetable Oil, 75cl</c:v>
                </c:pt>
                <c:pt idx="31">
                  <c:v>Iced Sardine</c:v>
                </c:pt>
                <c:pt idx="32">
                  <c:v>Beef Boneless</c:v>
                </c:pt>
                <c:pt idx="33">
                  <c:v>Chicken Wings</c:v>
                </c:pt>
                <c:pt idx="34">
                  <c:v>Dried Fish Sardine</c:v>
                </c:pt>
                <c:pt idx="35">
                  <c:v>Irish Potatoe</c:v>
                </c:pt>
                <c:pt idx="36">
                  <c:v>Palm oil, 75cl</c:v>
                </c:pt>
                <c:pt idx="37">
                  <c:v>Tin Milk-Evaporated, Peak Milk, 150g</c:v>
                </c:pt>
                <c:pt idx="38">
                  <c:v>Chicken feet</c:v>
                </c:pt>
                <c:pt idx="39">
                  <c:v>Catfish Smoked</c:v>
                </c:pt>
                <c:pt idx="40">
                  <c:v>Sweet potatoes</c:v>
                </c:pt>
                <c:pt idx="41">
                  <c:v>Tomatoes, fresh</c:v>
                </c:pt>
                <c:pt idx="42">
                  <c:v>Chicken meat (Frozen)</c:v>
                </c:pt>
                <c:pt idx="43">
                  <c:v>Groundnuts, roasted,75cl bottle</c:v>
                </c:pt>
                <c:pt idx="44">
                  <c:v>Smoked fish (Mackerel)</c:v>
                </c:pt>
                <c:pt idx="45">
                  <c:v>Cray fish small white</c:v>
                </c:pt>
                <c:pt idx="46">
                  <c:v>Semovita, Prepacked (1kg)</c:v>
                </c:pt>
                <c:pt idx="47">
                  <c:v>Watermelon whole, medium size fresh</c:v>
                </c:pt>
                <c:pt idx="48">
                  <c:v>Ginger, fresh</c:v>
                </c:pt>
                <c:pt idx="49">
                  <c:v>Carrots, fresh</c:v>
                </c:pt>
                <c:pt idx="50">
                  <c:v>Dried fish, Bonga</c:v>
                </c:pt>
                <c:pt idx="51">
                  <c:v>Goat Meat Bone in</c:v>
                </c:pt>
              </c:strCache>
            </c:strRef>
          </c:cat>
          <c:val>
            <c:numRef>
              <c:f>PIVOT_TABLE!$AE$27:$AE$79</c:f>
              <c:numCache>
                <c:formatCode>General</c:formatCode>
                <c:ptCount val="52"/>
                <c:pt idx="0">
                  <c:v>157.51877895100398</c:v>
                </c:pt>
                <c:pt idx="1">
                  <c:v>143.28972676771997</c:v>
                </c:pt>
                <c:pt idx="2">
                  <c:v>133.72148269444617</c:v>
                </c:pt>
                <c:pt idx="3">
                  <c:v>132.097369745983</c:v>
                </c:pt>
                <c:pt idx="4">
                  <c:v>126.05759490161624</c:v>
                </c:pt>
                <c:pt idx="5">
                  <c:v>117.947724720349</c:v>
                </c:pt>
                <c:pt idx="6">
                  <c:v>116.20339890279949</c:v>
                </c:pt>
                <c:pt idx="7">
                  <c:v>116.14750167074</c:v>
                </c:pt>
                <c:pt idx="8">
                  <c:v>114.9858518921007</c:v>
                </c:pt>
                <c:pt idx="9">
                  <c:v>105.83781937288173</c:v>
                </c:pt>
                <c:pt idx="10">
                  <c:v>102.37738342844796</c:v>
                </c:pt>
                <c:pt idx="11">
                  <c:v>99.360310375315905</c:v>
                </c:pt>
                <c:pt idx="12">
                  <c:v>96.72113708891915</c:v>
                </c:pt>
                <c:pt idx="13">
                  <c:v>92.524530034602606</c:v>
                </c:pt>
                <c:pt idx="14">
                  <c:v>91.998090347876257</c:v>
                </c:pt>
                <c:pt idx="15">
                  <c:v>91.676147816639343</c:v>
                </c:pt>
                <c:pt idx="16">
                  <c:v>91.128153193342143</c:v>
                </c:pt>
                <c:pt idx="17">
                  <c:v>90.490071281955565</c:v>
                </c:pt>
                <c:pt idx="18">
                  <c:v>89.230786337498088</c:v>
                </c:pt>
                <c:pt idx="19">
                  <c:v>88.914569971709525</c:v>
                </c:pt>
                <c:pt idx="20">
                  <c:v>88.58626636824998</c:v>
                </c:pt>
                <c:pt idx="21">
                  <c:v>86.133272449569404</c:v>
                </c:pt>
                <c:pt idx="22">
                  <c:v>83.945929765436404</c:v>
                </c:pt>
                <c:pt idx="23">
                  <c:v>83.106837067603607</c:v>
                </c:pt>
                <c:pt idx="24">
                  <c:v>81.974233785652885</c:v>
                </c:pt>
                <c:pt idx="25">
                  <c:v>81.460413587698014</c:v>
                </c:pt>
                <c:pt idx="26">
                  <c:v>80.941847110966577</c:v>
                </c:pt>
                <c:pt idx="27">
                  <c:v>79.375236717866855</c:v>
                </c:pt>
                <c:pt idx="28">
                  <c:v>79.262377187719082</c:v>
                </c:pt>
                <c:pt idx="29">
                  <c:v>78.326961991932549</c:v>
                </c:pt>
                <c:pt idx="30">
                  <c:v>75.419009719211999</c:v>
                </c:pt>
                <c:pt idx="31">
                  <c:v>74.288227994726299</c:v>
                </c:pt>
                <c:pt idx="32">
                  <c:v>73.336427390229133</c:v>
                </c:pt>
                <c:pt idx="33">
                  <c:v>73.068212407228927</c:v>
                </c:pt>
                <c:pt idx="34">
                  <c:v>72.328704171125153</c:v>
                </c:pt>
                <c:pt idx="35">
                  <c:v>66.33691023748888</c:v>
                </c:pt>
                <c:pt idx="36">
                  <c:v>64.702640517974558</c:v>
                </c:pt>
                <c:pt idx="37">
                  <c:v>61.518941923592514</c:v>
                </c:pt>
                <c:pt idx="38">
                  <c:v>56.69628876629335</c:v>
                </c:pt>
                <c:pt idx="39">
                  <c:v>55.252702585392598</c:v>
                </c:pt>
                <c:pt idx="40">
                  <c:v>44.950951678384506</c:v>
                </c:pt>
                <c:pt idx="41">
                  <c:v>42.308688149182117</c:v>
                </c:pt>
                <c:pt idx="42">
                  <c:v>41.20292543417645</c:v>
                </c:pt>
              </c:numCache>
            </c:numRef>
          </c:val>
          <c:extLst>
            <c:ext xmlns:c16="http://schemas.microsoft.com/office/drawing/2014/chart" uri="{C3380CC4-5D6E-409C-BE32-E72D297353CC}">
              <c16:uniqueId val="{00000000-BA38-4553-BA9D-9F9D19D8F190}"/>
            </c:ext>
          </c:extLst>
        </c:ser>
        <c:dLbls>
          <c:showLegendKey val="0"/>
          <c:showVal val="0"/>
          <c:showCatName val="0"/>
          <c:showSerName val="0"/>
          <c:showPercent val="0"/>
          <c:showBubbleSize val="0"/>
        </c:dLbls>
        <c:gapWidth val="182"/>
        <c:axId val="1874687408"/>
        <c:axId val="1874687888"/>
      </c:barChart>
      <c:catAx>
        <c:axId val="187468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74687888"/>
        <c:crosses val="autoZero"/>
        <c:auto val="1"/>
        <c:lblAlgn val="ctr"/>
        <c:lblOffset val="100"/>
        <c:noMultiLvlLbl val="0"/>
      </c:catAx>
      <c:valAx>
        <c:axId val="187468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74687408"/>
        <c:crosses val="autoZero"/>
        <c:crossBetween val="between"/>
      </c:valAx>
      <c:spPr>
        <a:solidFill>
          <a:schemeClr val="tx2">
            <a:lumMod val="5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[food_trend_dashboard_2024_2025.xlsx]PIVOT_TABLE!PivotTable4</c:name>
    <c:fmtId val="3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r>
              <a:rPr lang="en-US" sz="1400" b="0" i="0" u="none" strike="noStrike" kern="1200" spc="0" baseline="0">
                <a:solidFill>
                  <a:schemeClr val="bg1"/>
                </a:solidFill>
                <a:effectLst/>
              </a:rPr>
              <a:t>TOP 10 STATE WITH HIGHEST INFLATION RATE </a:t>
            </a:r>
            <a:endParaRPr lang="en-US" sz="1400" b="0" i="0" u="none" strike="noStrike" kern="1200" spc="0" baseline="0">
              <a:solidFill>
                <a:schemeClr val="bg1"/>
              </a:solidFill>
            </a:endParaRPr>
          </a:p>
        </c:rich>
      </c:tx>
      <c:overlay val="0"/>
      <c:spPr>
        <a:solidFill>
          <a:schemeClr val="tx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C000"/>
          </a:solidFill>
          <a:ln>
            <a:noFill/>
          </a:ln>
          <a:effectLst/>
        </c:spPr>
      </c:pivotFmt>
      <c:pivotFmt>
        <c:idx val="6"/>
        <c:spPr>
          <a:solidFill>
            <a:srgbClr val="FFC000"/>
          </a:solidFill>
          <a:ln>
            <a:noFill/>
          </a:ln>
          <a:effectLst/>
        </c:spPr>
      </c:pivotFmt>
      <c:pivotFmt>
        <c:idx val="7"/>
        <c:spPr>
          <a:solidFill>
            <a:srgbClr val="FFFF00"/>
          </a:solidFill>
          <a:ln>
            <a:noFill/>
          </a:ln>
          <a:effectLst/>
        </c:spPr>
      </c:pivotFmt>
      <c:pivotFmt>
        <c:idx val="8"/>
        <c:spPr>
          <a:solidFill>
            <a:srgbClr val="FFFF00"/>
          </a:solidFill>
          <a:ln>
            <a:noFill/>
          </a:ln>
          <a:effectLst/>
        </c:spPr>
      </c:pivotFmt>
      <c:pivotFmt>
        <c:idx val="9"/>
        <c:spPr>
          <a:solidFill>
            <a:schemeClr val="accent3">
              <a:lumMod val="50000"/>
            </a:schemeClr>
          </a:solidFill>
          <a:ln>
            <a:solidFill>
              <a:srgbClr val="FFFF00"/>
            </a:solidFill>
          </a:ln>
          <a:effectLst/>
        </c:spPr>
      </c:pivotFmt>
      <c:pivotFmt>
        <c:idx val="10"/>
        <c:spPr>
          <a:solidFill>
            <a:schemeClr val="accent3">
              <a:lumMod val="50000"/>
            </a:schemeClr>
          </a:solidFill>
          <a:ln>
            <a:noFill/>
          </a:ln>
          <a:effectLst/>
        </c:spPr>
      </c:pivotFmt>
      <c:pivotFmt>
        <c:idx val="11"/>
        <c:spPr>
          <a:solidFill>
            <a:schemeClr val="accent3">
              <a:lumMod val="75000"/>
            </a:schemeClr>
          </a:solidFill>
          <a:ln>
            <a:noFill/>
          </a:ln>
          <a:effectLst/>
        </c:spPr>
      </c:pivotFmt>
      <c:pivotFmt>
        <c:idx val="12"/>
        <c:spPr>
          <a:solidFill>
            <a:schemeClr val="accent3">
              <a:lumMod val="75000"/>
            </a:schemeClr>
          </a:solidFill>
          <a:ln>
            <a:noFill/>
          </a:ln>
          <a:effectLst/>
        </c:spPr>
      </c:pivotFmt>
    </c:pivotFmts>
    <c:plotArea>
      <c:layout/>
      <c:barChart>
        <c:barDir val="col"/>
        <c:grouping val="clustered"/>
        <c:varyColors val="0"/>
        <c:ser>
          <c:idx val="0"/>
          <c:order val="0"/>
          <c:tx>
            <c:strRef>
              <c:f>PIVOT_TABLE!$AI$27</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A-E35D-405C-9D90-89BE8168E2D0}"/>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9-E35D-405C-9D90-89BE8168E2D0}"/>
              </c:ext>
            </c:extLst>
          </c:dPt>
          <c:dPt>
            <c:idx val="2"/>
            <c:invertIfNegative val="0"/>
            <c:bubble3D val="0"/>
            <c:spPr>
              <a:solidFill>
                <a:schemeClr val="accent3">
                  <a:lumMod val="50000"/>
                </a:schemeClr>
              </a:solidFill>
              <a:ln>
                <a:noFill/>
              </a:ln>
              <a:effectLst/>
            </c:spPr>
            <c:extLst>
              <c:ext xmlns:c16="http://schemas.microsoft.com/office/drawing/2014/chart" uri="{C3380CC4-5D6E-409C-BE32-E72D297353CC}">
                <c16:uniqueId val="{00000008-E35D-405C-9D90-89BE8168E2D0}"/>
              </c:ext>
            </c:extLst>
          </c:dPt>
          <c:dPt>
            <c:idx val="3"/>
            <c:invertIfNegative val="0"/>
            <c:bubble3D val="0"/>
            <c:spPr>
              <a:solidFill>
                <a:schemeClr val="accent3">
                  <a:lumMod val="50000"/>
                </a:schemeClr>
              </a:solidFill>
              <a:ln>
                <a:solidFill>
                  <a:srgbClr val="FFFF00"/>
                </a:solidFill>
              </a:ln>
              <a:effectLst/>
            </c:spPr>
            <c:extLst>
              <c:ext xmlns:c16="http://schemas.microsoft.com/office/drawing/2014/chart" uri="{C3380CC4-5D6E-409C-BE32-E72D297353CC}">
                <c16:uniqueId val="{00000007-E35D-405C-9D90-89BE8168E2D0}"/>
              </c:ext>
            </c:extLst>
          </c:dPt>
          <c:dPt>
            <c:idx val="4"/>
            <c:invertIfNegative val="0"/>
            <c:bubble3D val="0"/>
            <c:spPr>
              <a:solidFill>
                <a:srgbClr val="FFFF00"/>
              </a:solidFill>
              <a:ln>
                <a:noFill/>
              </a:ln>
              <a:effectLst/>
            </c:spPr>
            <c:extLst>
              <c:ext xmlns:c16="http://schemas.microsoft.com/office/drawing/2014/chart" uri="{C3380CC4-5D6E-409C-BE32-E72D297353CC}">
                <c16:uniqueId val="{00000006-E35D-405C-9D90-89BE8168E2D0}"/>
              </c:ext>
            </c:extLst>
          </c:dPt>
          <c:dPt>
            <c:idx val="5"/>
            <c:invertIfNegative val="0"/>
            <c:bubble3D val="0"/>
            <c:spPr>
              <a:solidFill>
                <a:srgbClr val="FFFF00"/>
              </a:solidFill>
              <a:ln>
                <a:noFill/>
              </a:ln>
              <a:effectLst/>
            </c:spPr>
            <c:extLst>
              <c:ext xmlns:c16="http://schemas.microsoft.com/office/drawing/2014/chart" uri="{C3380CC4-5D6E-409C-BE32-E72D297353CC}">
                <c16:uniqueId val="{00000005-E35D-405C-9D90-89BE8168E2D0}"/>
              </c:ext>
            </c:extLst>
          </c:dPt>
          <c:dPt>
            <c:idx val="6"/>
            <c:invertIfNegative val="0"/>
            <c:bubble3D val="0"/>
            <c:spPr>
              <a:solidFill>
                <a:srgbClr val="FFC000"/>
              </a:solidFill>
              <a:ln>
                <a:noFill/>
              </a:ln>
              <a:effectLst/>
            </c:spPr>
            <c:extLst>
              <c:ext xmlns:c16="http://schemas.microsoft.com/office/drawing/2014/chart" uri="{C3380CC4-5D6E-409C-BE32-E72D297353CC}">
                <c16:uniqueId val="{00000004-E35D-405C-9D90-89BE8168E2D0}"/>
              </c:ext>
            </c:extLst>
          </c:dPt>
          <c:dPt>
            <c:idx val="7"/>
            <c:invertIfNegative val="0"/>
            <c:bubble3D val="0"/>
            <c:spPr>
              <a:solidFill>
                <a:srgbClr val="FFC000"/>
              </a:solidFill>
              <a:ln>
                <a:noFill/>
              </a:ln>
              <a:effectLst/>
            </c:spPr>
            <c:extLst>
              <c:ext xmlns:c16="http://schemas.microsoft.com/office/drawing/2014/chart" uri="{C3380CC4-5D6E-409C-BE32-E72D297353CC}">
                <c16:uniqueId val="{00000003-E35D-405C-9D90-89BE8168E2D0}"/>
              </c:ext>
            </c:extLst>
          </c:dPt>
          <c:dPt>
            <c:idx val="8"/>
            <c:invertIfNegative val="0"/>
            <c:bubble3D val="0"/>
            <c:spPr>
              <a:solidFill>
                <a:srgbClr val="FF0000"/>
              </a:solidFill>
              <a:ln>
                <a:noFill/>
              </a:ln>
              <a:effectLst/>
            </c:spPr>
            <c:extLst>
              <c:ext xmlns:c16="http://schemas.microsoft.com/office/drawing/2014/chart" uri="{C3380CC4-5D6E-409C-BE32-E72D297353CC}">
                <c16:uniqueId val="{00000002-E35D-405C-9D90-89BE8168E2D0}"/>
              </c:ext>
            </c:extLst>
          </c:dPt>
          <c:dPt>
            <c:idx val="9"/>
            <c:invertIfNegative val="0"/>
            <c:bubble3D val="0"/>
            <c:spPr>
              <a:solidFill>
                <a:srgbClr val="FF0000"/>
              </a:solidFill>
              <a:ln>
                <a:noFill/>
              </a:ln>
              <a:effectLst/>
            </c:spPr>
            <c:extLst>
              <c:ext xmlns:c16="http://schemas.microsoft.com/office/drawing/2014/chart" uri="{C3380CC4-5D6E-409C-BE32-E72D297353CC}">
                <c16:uniqueId val="{00000001-E35D-405C-9D90-89BE8168E2D0}"/>
              </c:ext>
            </c:extLst>
          </c:dPt>
          <c:cat>
            <c:strRef>
              <c:f>PIVOT_TABLE!$AH$28:$AH$38</c:f>
              <c:strCache>
                <c:ptCount val="10"/>
                <c:pt idx="0">
                  <c:v>Enugu</c:v>
                </c:pt>
                <c:pt idx="1">
                  <c:v>Imo</c:v>
                </c:pt>
                <c:pt idx="2">
                  <c:v>Plateau</c:v>
                </c:pt>
                <c:pt idx="3">
                  <c:v>Ebonyi</c:v>
                </c:pt>
                <c:pt idx="4">
                  <c:v>Gombe</c:v>
                </c:pt>
                <c:pt idx="5">
                  <c:v>Ogun</c:v>
                </c:pt>
                <c:pt idx="6">
                  <c:v>Akwa Ibom</c:v>
                </c:pt>
                <c:pt idx="7">
                  <c:v>Kwara</c:v>
                </c:pt>
                <c:pt idx="8">
                  <c:v>Kogi</c:v>
                </c:pt>
                <c:pt idx="9">
                  <c:v>Ekiti</c:v>
                </c:pt>
              </c:strCache>
            </c:strRef>
          </c:cat>
          <c:val>
            <c:numRef>
              <c:f>PIVOT_TABLE!$AI$28:$AI$38</c:f>
              <c:numCache>
                <c:formatCode>General</c:formatCode>
                <c:ptCount val="10"/>
                <c:pt idx="0">
                  <c:v>25</c:v>
                </c:pt>
                <c:pt idx="1">
                  <c:v>22</c:v>
                </c:pt>
                <c:pt idx="2">
                  <c:v>19</c:v>
                </c:pt>
                <c:pt idx="3">
                  <c:v>19</c:v>
                </c:pt>
                <c:pt idx="4">
                  <c:v>15</c:v>
                </c:pt>
                <c:pt idx="5">
                  <c:v>14</c:v>
                </c:pt>
                <c:pt idx="6">
                  <c:v>11</c:v>
                </c:pt>
                <c:pt idx="7">
                  <c:v>11</c:v>
                </c:pt>
                <c:pt idx="8">
                  <c:v>10</c:v>
                </c:pt>
                <c:pt idx="9">
                  <c:v>10</c:v>
                </c:pt>
              </c:numCache>
            </c:numRef>
          </c:val>
          <c:extLst>
            <c:ext xmlns:c16="http://schemas.microsoft.com/office/drawing/2014/chart" uri="{C3380CC4-5D6E-409C-BE32-E72D297353CC}">
              <c16:uniqueId val="{00000000-E35D-405C-9D90-89BE8168E2D0}"/>
            </c:ext>
          </c:extLst>
        </c:ser>
        <c:dLbls>
          <c:showLegendKey val="0"/>
          <c:showVal val="0"/>
          <c:showCatName val="0"/>
          <c:showSerName val="0"/>
          <c:showPercent val="0"/>
          <c:showBubbleSize val="0"/>
        </c:dLbls>
        <c:gapWidth val="219"/>
        <c:overlap val="-27"/>
        <c:axId val="1874718128"/>
        <c:axId val="1874737328"/>
      </c:barChart>
      <c:catAx>
        <c:axId val="187471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37328"/>
        <c:crosses val="autoZero"/>
        <c:auto val="1"/>
        <c:lblAlgn val="ctr"/>
        <c:lblOffset val="100"/>
        <c:noMultiLvlLbl val="0"/>
      </c:catAx>
      <c:valAx>
        <c:axId val="187473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1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[food_trend_dashboard_2024_2025.xlsx]PIVOT_TABLE!PivotTable5</c:name>
    <c:fmtId val="3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solidFill>
                  <a:schemeClr val="bg1"/>
                </a:solidFill>
                <a:effectLst/>
              </a:rPr>
              <a:t>TOP 10 STATE WITH LOWEST INFLATION RATE </a:t>
            </a:r>
            <a:endParaRPr lang="en-US">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pivotFmt>
      <c:pivotFmt>
        <c:idx val="4"/>
        <c:spPr>
          <a:solidFill>
            <a:schemeClr val="tx2">
              <a:lumMod val="60000"/>
              <a:lumOff val="40000"/>
            </a:schemeClr>
          </a:solidFill>
          <a:ln>
            <a:noFill/>
          </a:ln>
          <a:effectLst/>
        </c:spPr>
      </c:pivotFmt>
      <c:pivotFmt>
        <c:idx val="5"/>
        <c:spPr>
          <a:solidFill>
            <a:schemeClr val="accent6">
              <a:lumMod val="75000"/>
            </a:schemeClr>
          </a:solidFill>
          <a:ln>
            <a:noFill/>
          </a:ln>
          <a:effectLst/>
        </c:spPr>
      </c:pivotFmt>
      <c:pivotFmt>
        <c:idx val="6"/>
        <c:spPr>
          <a:solidFill>
            <a:srgbClr val="FFFF00"/>
          </a:solidFill>
          <a:ln>
            <a:noFill/>
          </a:ln>
          <a:effectLst/>
        </c:spPr>
      </c:pivotFmt>
      <c:pivotFmt>
        <c:idx val="7"/>
        <c:spPr>
          <a:solidFill>
            <a:schemeClr val="accent5">
              <a:lumMod val="50000"/>
            </a:schemeClr>
          </a:solidFill>
          <a:ln>
            <a:noFill/>
          </a:ln>
          <a:effectLst/>
        </c:spPr>
      </c:pivotFmt>
      <c:pivotFmt>
        <c:idx val="8"/>
        <c:spPr>
          <a:solidFill>
            <a:schemeClr val="accent2">
              <a:lumMod val="40000"/>
              <a:lumOff val="60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rgbClr val="FF0000"/>
          </a:solidFill>
          <a:ln>
            <a:solidFill>
              <a:schemeClr val="tx1">
                <a:lumMod val="75000"/>
                <a:lumOff val="25000"/>
              </a:schemeClr>
            </a:solidFill>
          </a:ln>
          <a:effectLst/>
        </c:spPr>
      </c:pivotFmt>
    </c:pivotFmts>
    <c:plotArea>
      <c:layout>
        <c:manualLayout>
          <c:layoutTarget val="inner"/>
          <c:xMode val="edge"/>
          <c:yMode val="edge"/>
          <c:x val="5.8643733915684206E-2"/>
          <c:y val="0.1872275000136096"/>
          <c:w val="0.84093401503740339"/>
          <c:h val="0.67127976194333794"/>
        </c:manualLayout>
      </c:layout>
      <c:barChart>
        <c:barDir val="col"/>
        <c:grouping val="clustered"/>
        <c:varyColors val="0"/>
        <c:ser>
          <c:idx val="0"/>
          <c:order val="0"/>
          <c:tx>
            <c:strRef>
              <c:f>PIVOT_TABLE!$AP$28</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rgbClr val="FF0000"/>
              </a:solidFill>
              <a:ln>
                <a:solidFill>
                  <a:schemeClr val="tx1">
                    <a:lumMod val="75000"/>
                    <a:lumOff val="25000"/>
                  </a:schemeClr>
                </a:solidFill>
              </a:ln>
              <a:effectLst/>
            </c:spPr>
            <c:extLst>
              <c:ext xmlns:c16="http://schemas.microsoft.com/office/drawing/2014/chart" uri="{C3380CC4-5D6E-409C-BE32-E72D297353CC}">
                <c16:uniqueId val="{00000009-5FC6-4B25-840D-430CDB160414}"/>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8-5FC6-4B25-840D-430CDB160414}"/>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5FC6-4B25-840D-430CDB160414}"/>
              </c:ext>
            </c:extLst>
          </c:dPt>
          <c:dPt>
            <c:idx val="4"/>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6-5FC6-4B25-840D-430CDB160414}"/>
              </c:ext>
            </c:extLst>
          </c:dPt>
          <c:dPt>
            <c:idx val="5"/>
            <c:invertIfNegative val="0"/>
            <c:bubble3D val="0"/>
            <c:spPr>
              <a:solidFill>
                <a:schemeClr val="accent5">
                  <a:lumMod val="50000"/>
                </a:schemeClr>
              </a:solidFill>
              <a:ln>
                <a:noFill/>
              </a:ln>
              <a:effectLst/>
            </c:spPr>
            <c:extLst>
              <c:ext xmlns:c16="http://schemas.microsoft.com/office/drawing/2014/chart" uri="{C3380CC4-5D6E-409C-BE32-E72D297353CC}">
                <c16:uniqueId val="{00000005-5FC6-4B25-840D-430CDB160414}"/>
              </c:ext>
            </c:extLst>
          </c:dPt>
          <c:dPt>
            <c:idx val="6"/>
            <c:invertIfNegative val="0"/>
            <c:bubble3D val="0"/>
            <c:spPr>
              <a:solidFill>
                <a:srgbClr val="FFFF00"/>
              </a:solidFill>
              <a:ln>
                <a:noFill/>
              </a:ln>
              <a:effectLst/>
            </c:spPr>
            <c:extLst>
              <c:ext xmlns:c16="http://schemas.microsoft.com/office/drawing/2014/chart" uri="{C3380CC4-5D6E-409C-BE32-E72D297353CC}">
                <c16:uniqueId val="{00000004-5FC6-4B25-840D-430CDB160414}"/>
              </c:ext>
            </c:extLst>
          </c:dPt>
          <c:dPt>
            <c:idx val="7"/>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2-5FC6-4B25-840D-430CDB160414}"/>
              </c:ext>
            </c:extLst>
          </c:dPt>
          <c:dPt>
            <c:idx val="8"/>
            <c:invertIfNegative val="0"/>
            <c:bubble3D val="0"/>
            <c:spPr>
              <a:solidFill>
                <a:schemeClr val="accent6">
                  <a:lumMod val="75000"/>
                </a:schemeClr>
              </a:solidFill>
              <a:ln>
                <a:noFill/>
              </a:ln>
              <a:effectLst/>
            </c:spPr>
            <c:extLst>
              <c:ext xmlns:c16="http://schemas.microsoft.com/office/drawing/2014/chart" uri="{C3380CC4-5D6E-409C-BE32-E72D297353CC}">
                <c16:uniqueId val="{00000003-5FC6-4B25-840D-430CDB160414}"/>
              </c:ext>
            </c:extLst>
          </c:dPt>
          <c:dPt>
            <c:idx val="10"/>
            <c:invertIfNegative val="0"/>
            <c:bubble3D val="0"/>
            <c:spPr>
              <a:solidFill>
                <a:schemeClr val="accent3">
                  <a:lumMod val="50000"/>
                </a:schemeClr>
              </a:solidFill>
              <a:ln>
                <a:noFill/>
              </a:ln>
              <a:effectLst/>
            </c:spPr>
            <c:extLst>
              <c:ext xmlns:c16="http://schemas.microsoft.com/office/drawing/2014/chart" uri="{C3380CC4-5D6E-409C-BE32-E72D297353CC}">
                <c16:uniqueId val="{00000001-5FC6-4B25-840D-430CDB160414}"/>
              </c:ext>
            </c:extLst>
          </c:dPt>
          <c:cat>
            <c:strRef>
              <c:f>PIVOT_TABLE!$AO$29:$AO$40</c:f>
              <c:strCache>
                <c:ptCount val="11"/>
                <c:pt idx="0">
                  <c:v>Abuja</c:v>
                </c:pt>
                <c:pt idx="1">
                  <c:v>Osun</c:v>
                </c:pt>
                <c:pt idx="2">
                  <c:v>Kebbi</c:v>
                </c:pt>
                <c:pt idx="3">
                  <c:v>Kogi</c:v>
                </c:pt>
                <c:pt idx="4">
                  <c:v>Niger</c:v>
                </c:pt>
                <c:pt idx="5">
                  <c:v>Borno</c:v>
                </c:pt>
                <c:pt idx="6">
                  <c:v>Benue</c:v>
                </c:pt>
                <c:pt idx="7">
                  <c:v>Taraba</c:v>
                </c:pt>
                <c:pt idx="8">
                  <c:v>Oyo</c:v>
                </c:pt>
                <c:pt idx="9">
                  <c:v>Adamawa</c:v>
                </c:pt>
                <c:pt idx="10">
                  <c:v>Yobe</c:v>
                </c:pt>
              </c:strCache>
            </c:strRef>
          </c:cat>
          <c:val>
            <c:numRef>
              <c:f>PIVOT_TABLE!$AP$29:$AP$40</c:f>
              <c:numCache>
                <c:formatCode>General</c:formatCode>
                <c:ptCount val="11"/>
                <c:pt idx="0">
                  <c:v>10</c:v>
                </c:pt>
                <c:pt idx="1">
                  <c:v>10</c:v>
                </c:pt>
                <c:pt idx="2">
                  <c:v>11</c:v>
                </c:pt>
                <c:pt idx="3">
                  <c:v>13</c:v>
                </c:pt>
                <c:pt idx="4">
                  <c:v>13</c:v>
                </c:pt>
                <c:pt idx="5">
                  <c:v>15</c:v>
                </c:pt>
                <c:pt idx="6">
                  <c:v>16</c:v>
                </c:pt>
                <c:pt idx="7">
                  <c:v>17</c:v>
                </c:pt>
                <c:pt idx="8">
                  <c:v>18</c:v>
                </c:pt>
                <c:pt idx="9">
                  <c:v>21</c:v>
                </c:pt>
                <c:pt idx="10">
                  <c:v>29</c:v>
                </c:pt>
              </c:numCache>
            </c:numRef>
          </c:val>
          <c:extLst>
            <c:ext xmlns:c16="http://schemas.microsoft.com/office/drawing/2014/chart" uri="{C3380CC4-5D6E-409C-BE32-E72D297353CC}">
              <c16:uniqueId val="{00000000-5FC6-4B25-840D-430CDB160414}"/>
            </c:ext>
          </c:extLst>
        </c:ser>
        <c:dLbls>
          <c:showLegendKey val="0"/>
          <c:showVal val="0"/>
          <c:showCatName val="0"/>
          <c:showSerName val="0"/>
          <c:showPercent val="0"/>
          <c:showBubbleSize val="0"/>
        </c:dLbls>
        <c:gapWidth val="219"/>
        <c:overlap val="-27"/>
        <c:axId val="1874735888"/>
        <c:axId val="1874742608"/>
      </c:barChart>
      <c:catAx>
        <c:axId val="187473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42608"/>
        <c:crosses val="autoZero"/>
        <c:auto val="1"/>
        <c:lblAlgn val="ctr"/>
        <c:lblOffset val="100"/>
        <c:noMultiLvlLbl val="0"/>
      </c:catAx>
      <c:valAx>
        <c:axId val="1874742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35888"/>
        <c:crosses val="autoZero"/>
        <c:crossBetween val="between"/>
      </c:valAx>
      <c:spPr>
        <a:noFill/>
        <a:ln>
          <a:noFill/>
        </a:ln>
        <a:effectLst/>
      </c:spPr>
    </c:plotArea>
    <c:legend>
      <c:legendPos val="r"/>
      <c:overlay val="0"/>
      <c:spPr>
        <a:solidFill>
          <a:schemeClr val="bg1">
            <a:lumMod val="95000"/>
          </a:schemeClr>
        </a:solidFill>
        <a:ln>
          <a:solidFill>
            <a:schemeClr val="bg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[food_trend_dashboard_2024_2025.xlsx]PIVOT_TABLE!PivotTable5</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TOP 10 STATE WITH LOWEST INFLATION RATE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PIVOT_TABLE!$AP$28</c:f>
              <c:strCache>
                <c:ptCount val="1"/>
                <c:pt idx="0">
                  <c:v>Total</c:v>
                </c:pt>
              </c:strCache>
            </c:strRef>
          </c:tx>
          <c:spPr>
            <a:solidFill>
              <a:schemeClr val="accent1"/>
            </a:solidFill>
            <a:ln>
              <a:noFill/>
            </a:ln>
            <a:effectLst/>
          </c:spPr>
          <c:invertIfNegative val="0"/>
          <c:cat>
            <c:strRef>
              <c:f>PIVOT_TABLE!$AO$29:$AO$40</c:f>
              <c:strCache>
                <c:ptCount val="11"/>
                <c:pt idx="0">
                  <c:v>Abuja</c:v>
                </c:pt>
                <c:pt idx="1">
                  <c:v>Osun</c:v>
                </c:pt>
                <c:pt idx="2">
                  <c:v>Kebbi</c:v>
                </c:pt>
                <c:pt idx="3">
                  <c:v>Kogi</c:v>
                </c:pt>
                <c:pt idx="4">
                  <c:v>Niger</c:v>
                </c:pt>
                <c:pt idx="5">
                  <c:v>Borno</c:v>
                </c:pt>
                <c:pt idx="6">
                  <c:v>Benue</c:v>
                </c:pt>
                <c:pt idx="7">
                  <c:v>Taraba</c:v>
                </c:pt>
                <c:pt idx="8">
                  <c:v>Oyo</c:v>
                </c:pt>
                <c:pt idx="9">
                  <c:v>Adamawa</c:v>
                </c:pt>
                <c:pt idx="10">
                  <c:v>Yobe</c:v>
                </c:pt>
              </c:strCache>
            </c:strRef>
          </c:cat>
          <c:val>
            <c:numRef>
              <c:f>PIVOT_TABLE!$AP$29:$AP$40</c:f>
              <c:numCache>
                <c:formatCode>General</c:formatCode>
                <c:ptCount val="11"/>
                <c:pt idx="0">
                  <c:v>10</c:v>
                </c:pt>
                <c:pt idx="1">
                  <c:v>10</c:v>
                </c:pt>
                <c:pt idx="2">
                  <c:v>11</c:v>
                </c:pt>
                <c:pt idx="3">
                  <c:v>13</c:v>
                </c:pt>
                <c:pt idx="4">
                  <c:v>13</c:v>
                </c:pt>
                <c:pt idx="5">
                  <c:v>15</c:v>
                </c:pt>
                <c:pt idx="6">
                  <c:v>16</c:v>
                </c:pt>
                <c:pt idx="7">
                  <c:v>17</c:v>
                </c:pt>
                <c:pt idx="8">
                  <c:v>18</c:v>
                </c:pt>
                <c:pt idx="9">
                  <c:v>21</c:v>
                </c:pt>
                <c:pt idx="10">
                  <c:v>29</c:v>
                </c:pt>
              </c:numCache>
            </c:numRef>
          </c:val>
          <c:extLst>
            <c:ext xmlns:c16="http://schemas.microsoft.com/office/drawing/2014/chart" uri="{C3380CC4-5D6E-409C-BE32-E72D297353CC}">
              <c16:uniqueId val="{00000000-82D7-4D3E-9B8A-86069A9D2F74}"/>
            </c:ext>
          </c:extLst>
        </c:ser>
        <c:dLbls>
          <c:showLegendKey val="0"/>
          <c:showVal val="0"/>
          <c:showCatName val="0"/>
          <c:showSerName val="0"/>
          <c:showPercent val="0"/>
          <c:showBubbleSize val="0"/>
        </c:dLbls>
        <c:gapWidth val="219"/>
        <c:overlap val="-27"/>
        <c:axId val="1874735888"/>
        <c:axId val="1874742608"/>
      </c:barChart>
      <c:catAx>
        <c:axId val="187473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42608"/>
        <c:crosses val="autoZero"/>
        <c:auto val="1"/>
        <c:lblAlgn val="ctr"/>
        <c:lblOffset val="100"/>
        <c:noMultiLvlLbl val="0"/>
      </c:catAx>
      <c:valAx>
        <c:axId val="187474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73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22679</xdr:rowOff>
    </xdr:from>
    <xdr:to>
      <xdr:col>11</xdr:col>
      <xdr:colOff>369494</xdr:colOff>
      <xdr:row>24</xdr:row>
      <xdr:rowOff>68037</xdr:rowOff>
    </xdr:to>
    <xdr:graphicFrame macro="">
      <xdr:nvGraphicFramePr>
        <xdr:cNvPr id="8" name="Chart 7">
          <a:extLst>
            <a:ext uri="{FF2B5EF4-FFF2-40B4-BE49-F238E27FC236}">
              <a16:creationId xmlns:a16="http://schemas.microsoft.com/office/drawing/2014/main" id="{7A6B6683-FA2A-4A0D-B6BD-8BF7CA0D5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35027</xdr:rowOff>
    </xdr:from>
    <xdr:to>
      <xdr:col>21</xdr:col>
      <xdr:colOff>108413</xdr:colOff>
      <xdr:row>67</xdr:row>
      <xdr:rowOff>181982</xdr:rowOff>
    </xdr:to>
    <xdr:graphicFrame macro="">
      <xdr:nvGraphicFramePr>
        <xdr:cNvPr id="9" name="Chart 8">
          <a:extLst>
            <a:ext uri="{FF2B5EF4-FFF2-40B4-BE49-F238E27FC236}">
              <a16:creationId xmlns:a16="http://schemas.microsoft.com/office/drawing/2014/main" id="{189DE10D-26C2-400F-AAE0-299274ACC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408215</xdr:colOff>
      <xdr:row>2</xdr:row>
      <xdr:rowOff>16591</xdr:rowOff>
    </xdr:from>
    <xdr:to>
      <xdr:col>21</xdr:col>
      <xdr:colOff>115606</xdr:colOff>
      <xdr:row>24</xdr:row>
      <xdr:rowOff>69142</xdr:rowOff>
    </xdr:to>
    <xdr:graphicFrame macro="">
      <xdr:nvGraphicFramePr>
        <xdr:cNvPr id="10" name="Chart 9">
          <a:extLst>
            <a:ext uri="{FF2B5EF4-FFF2-40B4-BE49-F238E27FC236}">
              <a16:creationId xmlns:a16="http://schemas.microsoft.com/office/drawing/2014/main" id="{D5948595-FC74-497C-8641-8A539685C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361750</xdr:colOff>
      <xdr:row>24</xdr:row>
      <xdr:rowOff>52116</xdr:rowOff>
    </xdr:from>
    <xdr:to>
      <xdr:col>21</xdr:col>
      <xdr:colOff>69142</xdr:colOff>
      <xdr:row>44</xdr:row>
      <xdr:rowOff>160410</xdr:rowOff>
    </xdr:to>
    <xdr:graphicFrame macro="">
      <xdr:nvGraphicFramePr>
        <xdr:cNvPr id="11" name="Chart 10">
          <a:extLst>
            <a:ext uri="{FF2B5EF4-FFF2-40B4-BE49-F238E27FC236}">
              <a16:creationId xmlns:a16="http://schemas.microsoft.com/office/drawing/2014/main" id="{DC44AB2A-F1B4-4B27-A062-73003A4BE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46464</xdr:colOff>
      <xdr:row>24</xdr:row>
      <xdr:rowOff>89055</xdr:rowOff>
    </xdr:from>
    <xdr:to>
      <xdr:col>11</xdr:col>
      <xdr:colOff>347923</xdr:colOff>
      <xdr:row>45</xdr:row>
      <xdr:rowOff>43697</xdr:rowOff>
    </xdr:to>
    <xdr:graphicFrame macro="">
      <xdr:nvGraphicFramePr>
        <xdr:cNvPr id="12" name="Chart 11">
          <a:extLst>
            <a:ext uri="{FF2B5EF4-FFF2-40B4-BE49-F238E27FC236}">
              <a16:creationId xmlns:a16="http://schemas.microsoft.com/office/drawing/2014/main" id="{E00D39DC-92E9-4EAA-A340-4AE215553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116158</xdr:colOff>
      <xdr:row>2</xdr:row>
      <xdr:rowOff>49694</xdr:rowOff>
    </xdr:from>
    <xdr:to>
      <xdr:col>26</xdr:col>
      <xdr:colOff>39271</xdr:colOff>
      <xdr:row>13</xdr:row>
      <xdr:rowOff>66929</xdr:rowOff>
    </xdr:to>
    <mc:AlternateContent xmlns:mc="http://schemas.openxmlformats.org/markup-compatibility/2006">
      <mc:Choice xmlns:a14="http://schemas.microsoft.com/office/drawing/2010/main" Requires="a14">
        <xdr:graphicFrame macro="">
          <xdr:nvGraphicFramePr>
            <xdr:cNvPr id="13" name="Month">
              <a:extLst>
                <a:ext uri="{FF2B5EF4-FFF2-40B4-BE49-F238E27FC236}">
                  <a16:creationId xmlns:a16="http://schemas.microsoft.com/office/drawing/2014/main" id="{347E5277-C9F7-1493-A919-64903F9ACE6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4845060" y="723414"/>
              <a:ext cx="2827077" cy="2131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139392</xdr:colOff>
      <xdr:row>13</xdr:row>
      <xdr:rowOff>50249</xdr:rowOff>
    </xdr:from>
    <xdr:to>
      <xdr:col>25</xdr:col>
      <xdr:colOff>552584</xdr:colOff>
      <xdr:row>26</xdr:row>
      <xdr:rowOff>185302</xdr:rowOff>
    </xdr:to>
    <mc:AlternateContent xmlns:mc="http://schemas.openxmlformats.org/markup-compatibility/2006">
      <mc:Choice xmlns:a14="http://schemas.microsoft.com/office/drawing/2010/main" Requires="a14">
        <xdr:graphicFrame macro="">
          <xdr:nvGraphicFramePr>
            <xdr:cNvPr id="14" name="Standardized Item">
              <a:extLst>
                <a:ext uri="{FF2B5EF4-FFF2-40B4-BE49-F238E27FC236}">
                  <a16:creationId xmlns:a16="http://schemas.microsoft.com/office/drawing/2014/main" id="{61AE4108-077D-1087-FA25-1FC844C4B7BC}"/>
                </a:ext>
              </a:extLst>
            </xdr:cNvPr>
            <xdr:cNvGraphicFramePr/>
          </xdr:nvGraphicFramePr>
          <xdr:xfrm>
            <a:off x="0" y="0"/>
            <a:ext cx="0" cy="0"/>
          </xdr:xfrm>
          <a:graphic>
            <a:graphicData uri="http://schemas.microsoft.com/office/drawing/2010/slicer">
              <sle:slicer xmlns:sle="http://schemas.microsoft.com/office/drawing/2010/slicer" name="Standardized Item"/>
            </a:graphicData>
          </a:graphic>
        </xdr:graphicFrame>
      </mc:Choice>
      <mc:Fallback>
        <xdr:sp macro="" textlink="">
          <xdr:nvSpPr>
            <xdr:cNvPr id="0" name=""/>
            <xdr:cNvSpPr>
              <a:spLocks noTextEdit="1"/>
            </xdr:cNvSpPr>
          </xdr:nvSpPr>
          <xdr:spPr>
            <a:xfrm>
              <a:off x="14868294" y="2838054"/>
              <a:ext cx="2736363" cy="2551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116159</xdr:colOff>
      <xdr:row>27</xdr:row>
      <xdr:rowOff>4890</xdr:rowOff>
    </xdr:from>
    <xdr:to>
      <xdr:col>25</xdr:col>
      <xdr:colOff>529351</xdr:colOff>
      <xdr:row>37</xdr:row>
      <xdr:rowOff>185301</xdr:rowOff>
    </xdr:to>
    <mc:AlternateContent xmlns:mc="http://schemas.openxmlformats.org/markup-compatibility/2006">
      <mc:Choice xmlns:a14="http://schemas.microsoft.com/office/drawing/2010/main" Requires="a14">
        <xdr:graphicFrame macro="">
          <xdr:nvGraphicFramePr>
            <xdr:cNvPr id="15" name="Match Confidence">
              <a:extLst>
                <a:ext uri="{FF2B5EF4-FFF2-40B4-BE49-F238E27FC236}">
                  <a16:creationId xmlns:a16="http://schemas.microsoft.com/office/drawing/2014/main" id="{AE3664F9-477C-EF51-E5DC-E20E8948CF7A}"/>
                </a:ext>
              </a:extLst>
            </xdr:cNvPr>
            <xdr:cNvGraphicFramePr/>
          </xdr:nvGraphicFramePr>
          <xdr:xfrm>
            <a:off x="0" y="0"/>
            <a:ext cx="0" cy="0"/>
          </xdr:xfrm>
          <a:graphic>
            <a:graphicData uri="http://schemas.microsoft.com/office/drawing/2010/slicer">
              <sle:slicer xmlns:sle="http://schemas.microsoft.com/office/drawing/2010/slicer" name="Match Confidence"/>
            </a:graphicData>
          </a:graphic>
        </xdr:graphicFrame>
      </mc:Choice>
      <mc:Fallback>
        <xdr:sp macro="" textlink="">
          <xdr:nvSpPr>
            <xdr:cNvPr id="0" name=""/>
            <xdr:cNvSpPr>
              <a:spLocks noTextEdit="1"/>
            </xdr:cNvSpPr>
          </xdr:nvSpPr>
          <xdr:spPr>
            <a:xfrm>
              <a:off x="14845061" y="5394646"/>
              <a:ext cx="2736363" cy="2038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39</xdr:col>
      <xdr:colOff>590550</xdr:colOff>
      <xdr:row>30</xdr:row>
      <xdr:rowOff>90487</xdr:rowOff>
    </xdr:from>
    <xdr:to>
      <xdr:col>44</xdr:col>
      <xdr:colOff>438150</xdr:colOff>
      <xdr:row>44</xdr:row>
      <xdr:rowOff>166687</xdr:rowOff>
    </xdr:to>
    <xdr:graphicFrame macro="">
      <xdr:nvGraphicFramePr>
        <xdr:cNvPr id="7" name="Chart 6">
          <a:extLst>
            <a:ext uri="{FF2B5EF4-FFF2-40B4-BE49-F238E27FC236}">
              <a16:creationId xmlns:a16="http://schemas.microsoft.com/office/drawing/2014/main" id="{755D603D-7694-C599-E647-F39554513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1.602206134259" createdVersion="8" refreshedVersion="8" minRefreshableVersion="3" recordCount="254" xr:uid="{ED53107C-52E1-4EA1-BA3F-3DE314F5C461}">
  <cacheSource type="worksheet">
    <worksheetSource ref="A1:P255" sheet="Standardized Data"/>
  </cacheSource>
  <cacheFields count="16">
    <cacheField name="Month" numFmtId="0">
      <sharedItems count="6">
        <s v="Nov-2024"/>
        <s v="Dec-2024"/>
        <s v="Jan-2025"/>
        <s v="Feb-2025"/>
        <s v="Mar-2025"/>
        <s v="Apr-2025"/>
      </sharedItems>
    </cacheField>
    <cacheField name="Standardized Item" numFmtId="0">
      <sharedItems count="52">
        <s v="Agric hen eggs"/>
        <s v="Agric hen eggs, (a Crate of 30 pieces)"/>
        <s v="Beans Brown"/>
        <s v="Beans white"/>
        <s v="Beef Bone in"/>
        <s v="Beef Boneless"/>
        <s v="Bread (sliced), 450g"/>
        <s v="Bread (unsliced), 450g"/>
        <s v="Carrots, fresh"/>
        <s v="Cat fresh fish"/>
        <s v="Catfish :dried"/>
        <s v="Catfish Smoked"/>
        <s v="Chicken Wings"/>
        <s v="Chicken feet"/>
        <s v="Chicken meat (Frozen)"/>
        <s v="Cray fish small white"/>
        <s v="Dried Fish Sardine"/>
        <s v="Dried fish, Bonga"/>
        <s v="Garri Yellow"/>
        <s v="Garri white"/>
        <s v="Ginger, fresh"/>
        <s v="Goat Meat Bone in"/>
        <s v="Groundnut oil, 75cl"/>
        <s v="Groundnuts, roasted,75cl bottle"/>
        <s v="Iced Sardine"/>
        <s v="Irish Potatoe"/>
        <s v="Local Rice (Broken)"/>
        <s v="Mackerel, Frozen"/>
        <s v="Maize (Corn) Grains (White) sold loose"/>
        <s v="Maize grain yellow sold loose"/>
        <s v="Mudfish (aro) fresh"/>
        <s v="Mudfish : dried"/>
        <s v="Onions, fresh"/>
        <s v="Palm oil, 75cl"/>
        <s v="Plantain (ripe)"/>
        <s v="Plantain (unripe)"/>
        <s v="Rice Local, short-Grained"/>
        <s v="Rice Long-Grained (Imported)"/>
        <s v="Rice Medium Grained"/>
        <s v="Rice agric sold loose"/>
        <s v="Semovita, Prepacked (1kg)"/>
        <s v="Smoked fish (Mackerel)"/>
        <s v="Sweet potatoes"/>
        <s v="Tilapia fresh fish (Epiya)"/>
        <s v="Tin Milk-Evaporated, Peak Milk, 150g"/>
        <s v="Tin Milk-Evaporated, Three Crown Milk, 160g"/>
        <s v="Titus, frozen"/>
        <s v="Tomatoes, fresh"/>
        <s v="Vegetable Oil, 75cl"/>
        <s v="Watermelon whole, medium size fresh"/>
        <s v="Wheat Flour, Prepacked (2kg)"/>
        <s v="Yam Tuber"/>
      </sharedItems>
    </cacheField>
    <cacheField name="Item Label" numFmtId="0">
      <sharedItems/>
    </cacheField>
    <cacheField name="Match Confidence" numFmtId="0">
      <sharedItems count="4">
        <s v="Confirmed"/>
        <s v="Likely"/>
        <s v="Discontinued"/>
        <s v="New (2025)"/>
      </sharedItems>
    </cacheField>
    <cacheField name="Avg (Same Month Last Year)" numFmtId="4">
      <sharedItems containsString="0" containsBlank="1" containsNumber="1" minValue="110.04435753645799" maxValue="4829.1307681304197"/>
    </cacheField>
    <cacheField name="Avg (Previous Month)" numFmtId="4">
      <sharedItems containsString="0" containsBlank="1" containsNumber="1" minValue="235.67349814172499" maxValue="7670.5591900852696"/>
    </cacheField>
    <cacheField name="Avg (Current Month)" numFmtId="4">
      <sharedItems containsSemiMixedTypes="0" containsString="0" containsNumber="1" minValue="247.25909993431799" maxValue="7670.5591900852696"/>
    </cacheField>
    <cacheField name="MoM" numFmtId="4">
      <sharedItems containsString="0" containsBlank="1" containsNumber="1" minValue="-33.539977777164601" maxValue="50.057211841402399"/>
    </cacheField>
    <cacheField name="YoY" numFmtId="4">
      <sharedItems containsString="0" containsBlank="1" containsNumber="1" minValue="14.256346008367499" maxValue="224.36831340537699"/>
    </cacheField>
    <cacheField name="Highest" numFmtId="0">
      <sharedItems/>
    </cacheField>
    <cacheField name="Highest State" numFmtId="0">
      <sharedItems count="32">
        <s v="Gombe"/>
        <s v="Bauchi"/>
        <s v="Enugu"/>
        <s v="Abia"/>
        <s v="Ebonyi"/>
        <s v="Abuja"/>
        <s v="Niger"/>
        <s v="Akwa Ibom"/>
        <s v="Imo"/>
        <s v="Rivers"/>
        <s v="Ogun"/>
        <s v="Delta"/>
        <s v="Bayelsa"/>
        <s v="Plateau"/>
        <s v="Yobe"/>
        <s v="Ondo"/>
        <s v="Kogi"/>
        <s v="Nasarawa"/>
        <s v="Kebbi"/>
        <s v="Katsina"/>
        <s v="Oyo"/>
        <s v="Ekiti"/>
        <s v="Osun"/>
        <s v="Zamfara"/>
        <s v="Anambra"/>
        <s v="Taraba"/>
        <s v="Adamawa"/>
        <s v="Cross River"/>
        <s v="Edo"/>
        <s v="Kwara"/>
        <s v="Benue"/>
        <s v="Borno"/>
      </sharedItems>
    </cacheField>
    <cacheField name="Highest Price" numFmtId="4">
      <sharedItems containsSemiMixedTypes="0" containsString="0" containsNumber="1" minValue="300" maxValue="12478.59"/>
    </cacheField>
    <cacheField name="Lowest" numFmtId="0">
      <sharedItems/>
    </cacheField>
    <cacheField name="Lowest State" numFmtId="0">
      <sharedItems count="31">
        <s v="Borno"/>
        <s v="Taraba"/>
        <s v="Adamawa"/>
        <s v="Kaduna"/>
        <s v="Niger"/>
        <s v="Kogi"/>
        <s v="Jigawa"/>
        <s v="Yobe"/>
        <s v="Sokoto"/>
        <s v="Abuja"/>
        <s v="Anambra"/>
        <s v="Abia"/>
        <s v="Benue"/>
        <s v="Osun"/>
        <s v="Ekiti"/>
        <s v="Zamfara"/>
        <s v="Nasarawa"/>
        <s v="Kano"/>
        <s v="Katsina"/>
        <s v="Kebbi"/>
        <s v="Gombe"/>
        <s v="Ondo"/>
        <s v="Bayelsa"/>
        <s v="Akwa Ibom"/>
        <s v="Oyo"/>
        <s v="Ogun"/>
        <s v="Ebonyi"/>
        <s v="Kwara"/>
        <s v="Bauchi"/>
        <s v="Plateau"/>
        <s v="Lagos"/>
      </sharedItems>
    </cacheField>
    <cacheField name="Lowest Price" numFmtId="4">
      <sharedItems containsSemiMixedTypes="0" containsString="0" containsNumber="1" minValue="199.73" maxValue="5300"/>
    </cacheField>
    <cacheField name="Source File" numFmtId="0">
      <sharedItems/>
    </cacheField>
  </cacheFields>
  <extLst>
    <ext xmlns:x14="http://schemas.microsoft.com/office/spreadsheetml/2009/9/main" uri="{725AE2AE-9491-48be-B2B4-4EB974FC3084}">
      <x14:pivotCacheDefinition pivotCacheId="16774954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x v="0"/>
    <x v="0"/>
    <s v="Agric eggs(medium size price of one)"/>
    <x v="0"/>
    <n v="110.09887211887199"/>
    <n v="235.67349814172499"/>
    <n v="247.25909993431799"/>
    <n v="4.9159544386384999"/>
    <n v="124.57913980023"/>
    <s v="Gombe (300)"/>
    <x v="0"/>
    <n v="300"/>
    <s v="Borno (199.73)"/>
    <x v="0"/>
    <n v="199.73"/>
    <s v="selected_food_Nov_2024.xlsx"/>
  </r>
  <r>
    <x v="1"/>
    <x v="0"/>
    <s v="Agric eggs(medium size price of one)"/>
    <x v="0"/>
    <n v="110.04435753645799"/>
    <n v="247.25909993431799"/>
    <n v="252.16549790250099"/>
    <n v="1.98431441734056"/>
    <n v="129.148957336553"/>
    <s v="Bauchi (300.73)"/>
    <x v="1"/>
    <n v="300.73"/>
    <s v="Taraba (212)"/>
    <x v="1"/>
    <n v="212"/>
    <s v="selected_food_Dec_2024.xlsx"/>
  </r>
  <r>
    <x v="2"/>
    <x v="0"/>
    <s v="Agric hen eggs"/>
    <x v="0"/>
    <n v="116.41"/>
    <n v="252.16549790250099"/>
    <n v="248.04139052252299"/>
    <n v="-1.63547646854262"/>
    <n v="113.075672641975"/>
    <s v="Enugu (325)"/>
    <x v="2"/>
    <n v="325"/>
    <s v="Adamawa (200)"/>
    <x v="2"/>
    <n v="200"/>
    <s v="Selected_food_table_Jan25.xlsx"/>
  </r>
  <r>
    <x v="3"/>
    <x v="0"/>
    <s v="Agric hen eggs, "/>
    <x v="0"/>
    <n v="139.280212289887"/>
    <n v="248.04139052252299"/>
    <n v="251.94051654054101"/>
    <n v="1.57196587626128"/>
    <n v="80.887516179378096"/>
    <s v="Enugu (325)"/>
    <x v="2"/>
    <n v="325"/>
    <s v="Adamawa (200)"/>
    <x v="2"/>
    <n v="200"/>
    <s v="selected_food_table_Feb_25.xlsx"/>
  </r>
  <r>
    <x v="4"/>
    <x v="0"/>
    <s v="Agric hen eggs, "/>
    <x v="0"/>
    <n v="147.92333733834499"/>
    <n v="251.94051654054101"/>
    <n v="261.18234628675702"/>
    <n v="3.6682586322827899"/>
    <n v="76.566017902472794"/>
    <s v="Enugu (354.75)"/>
    <x v="2"/>
    <n v="354.75"/>
    <s v="Kaduna (210)"/>
    <x v="3"/>
    <n v="210"/>
    <s v="selected_food_table_Mar_25.xlsx"/>
  </r>
  <r>
    <x v="5"/>
    <x v="0"/>
    <s v="Agric hen eggs, "/>
    <x v="0"/>
    <n v="150.848909933926"/>
    <n v="261.18234628675702"/>
    <n v="259.31615245998501"/>
    <n v="-0.71451759787888602"/>
    <n v="71.9045583912865"/>
    <s v="Enugu (356.73)"/>
    <x v="2"/>
    <n v="356.73"/>
    <s v="Kaduna (220)"/>
    <x v="3"/>
    <n v="220"/>
    <s v="selected_food_table_Apr25.xlsx"/>
  </r>
  <r>
    <x v="0"/>
    <x v="1"/>
    <s v="Agric eggs medium size"/>
    <x v="1"/>
    <n v="1202.17676890598"/>
    <n v="2671.6021177723001"/>
    <n v="2833.9730241430798"/>
    <n v="6.0776604903340896"/>
    <n v="135.73679823492901"/>
    <s v="Gombe (3600)"/>
    <x v="0"/>
    <n v="3600"/>
    <s v="Borno (2381.15)"/>
    <x v="0"/>
    <n v="2381.15"/>
    <s v="selected_food_Nov_2024.xlsx"/>
  </r>
  <r>
    <x v="1"/>
    <x v="1"/>
    <s v="Agric eggs medium size"/>
    <x v="1"/>
    <n v="1254.89842158847"/>
    <n v="2833.9730241430798"/>
    <n v="2866.9150988280699"/>
    <n v="1.1623990208923001"/>
    <n v="128.45794125703699"/>
    <s v="Gombe (3600.65)"/>
    <x v="0"/>
    <n v="3600.65"/>
    <s v="Borno (2431.2)"/>
    <x v="0"/>
    <n v="2431.1999999999998"/>
    <s v="selected_food_Dec_2024.xlsx"/>
  </r>
  <r>
    <x v="2"/>
    <x v="1"/>
    <s v="Agric hen eggs, (a Crate of 30 pieces)"/>
    <x v="1"/>
    <m/>
    <m/>
    <n v="5878.1406466216204"/>
    <m/>
    <m/>
    <s v="Enugu (7000)"/>
    <x v="2"/>
    <n v="7000"/>
    <s v="Niger (4613.06)"/>
    <x v="4"/>
    <n v="4613.0600000000004"/>
    <s v="Selected_food_table_Jan25.xlsx"/>
  </r>
  <r>
    <x v="3"/>
    <x v="1"/>
    <s v="Agric hen eggs, (a Crate of 30 pieces)"/>
    <x v="1"/>
    <m/>
    <n v="5878.1406466216204"/>
    <n v="5976.1158515450497"/>
    <n v="1.66677204261407"/>
    <m/>
    <s v="Enugu (7250)"/>
    <x v="2"/>
    <n v="7250"/>
    <s v="Kogi (5000)"/>
    <x v="5"/>
    <n v="5000"/>
    <s v="selected_food_table_Feb_25.xlsx"/>
  </r>
  <r>
    <x v="4"/>
    <x v="1"/>
    <s v="Agric hen eggs, (a Crate of 30 pieces)"/>
    <x v="1"/>
    <m/>
    <n v="5976.1158515450497"/>
    <n v="7670.5591900852696"/>
    <n v="28.353589197942899"/>
    <m/>
    <s v="Enugu (7930)"/>
    <x v="2"/>
    <n v="7930"/>
    <s v="Niger (5300)"/>
    <x v="4"/>
    <n v="5300"/>
    <s v="selected_food_table_Mar_25.xlsx"/>
  </r>
  <r>
    <x v="5"/>
    <x v="1"/>
    <s v="Agric hen eggs, (a Crate of 30 pieces)"/>
    <x v="1"/>
    <m/>
    <n v="7670.5591900852696"/>
    <n v="6150.1780720720699"/>
    <n v="-19.820994536857199"/>
    <m/>
    <s v="Enugu (7869.33)"/>
    <x v="2"/>
    <n v="7869.33"/>
    <s v="Jigawa (540)"/>
    <x v="6"/>
    <n v="540"/>
    <s v="selected_food_table_Apr25.xlsx"/>
  </r>
  <r>
    <x v="0"/>
    <x v="2"/>
    <s v="Beans brown,sold loose"/>
    <x v="0"/>
    <n v="838.84915060493097"/>
    <n v="2798.4962083299001"/>
    <n v="2720.9608418325502"/>
    <n v="-2.7706082383305999"/>
    <n v="224.36831340537699"/>
    <s v="Bauchi (3675)"/>
    <x v="1"/>
    <n v="3675"/>
    <s v="Adamawa (1925)"/>
    <x v="2"/>
    <n v="1925"/>
    <s v="selected_food_Nov_2024.xlsx"/>
  </r>
  <r>
    <x v="1"/>
    <x v="2"/>
    <s v="Beans brown,sold loose"/>
    <x v="0"/>
    <n v="870.66794542311595"/>
    <n v="2720.9608418325402"/>
    <n v="2501.3235254572801"/>
    <n v="-8.0720498802671692"/>
    <n v="187.287884963046"/>
    <s v="Bauchi (3500.32)"/>
    <x v="1"/>
    <n v="3500.32"/>
    <s v="Yobe (1755.63)"/>
    <x v="7"/>
    <n v="1755.63"/>
    <s v="selected_food_Dec_2024.xlsx"/>
  </r>
  <r>
    <x v="2"/>
    <x v="2"/>
    <s v="Beans Brown"/>
    <x v="0"/>
    <n v="976.58407104610899"/>
    <n v="2501.3235254572801"/>
    <n v="2458.53328829572"/>
    <n v="-1.71070382243884"/>
    <n v="151.74824791706499"/>
    <s v="Abia (3230.87)"/>
    <x v="3"/>
    <n v="3230.87"/>
    <s v="Sokoto (1575.36)"/>
    <x v="8"/>
    <n v="1575.36"/>
    <s v="Selected_food_table_Jan25.xlsx"/>
  </r>
  <r>
    <x v="3"/>
    <x v="2"/>
    <s v="Beans Brown"/>
    <x v="0"/>
    <n v="1177.9257979919901"/>
    <n v="2458.53328829572"/>
    <n v="2465.9627716485402"/>
    <n v="0.30219169242862598"/>
    <n v="109.347887265248"/>
    <s v="Ebonyi (3200)"/>
    <x v="4"/>
    <n v="3200"/>
    <s v="Sokoto (1572.83)"/>
    <x v="8"/>
    <n v="1572.83"/>
    <s v="selected_food_table_Feb_25.xlsx"/>
  </r>
  <r>
    <x v="4"/>
    <x v="2"/>
    <s v="Beans Brown"/>
    <x v="0"/>
    <n v="1234.4021850333099"/>
    <n v="2465.9627716485402"/>
    <n v="2616.2636109231798"/>
    <n v="6.0950165591576502"/>
    <n v="111.945801995853"/>
    <s v="Abia (3651.13)"/>
    <x v="3"/>
    <n v="3651.13"/>
    <s v="Sokoto (1634.36)"/>
    <x v="8"/>
    <n v="1634.36"/>
    <s v="selected_food_table_Mar_25.xlsx"/>
  </r>
  <r>
    <x v="5"/>
    <x v="2"/>
    <s v="Beans Brown"/>
    <x v="0"/>
    <n v="1387.9030212503001"/>
    <n v="2616.2636109231798"/>
    <n v="2429.3885720073299"/>
    <n v="-7.1428214701160799"/>
    <n v="75.040225059730801"/>
    <s v="Abia (3600)"/>
    <x v="3"/>
    <n v="3600"/>
    <s v="Sokoto (1658.02)"/>
    <x v="8"/>
    <n v="1658.02"/>
    <s v="selected_food_table_Apr25.xlsx"/>
  </r>
  <r>
    <x v="0"/>
    <x v="3"/>
    <s v="Beans:white black eye. sold loose"/>
    <x v="0"/>
    <n v="800.48677297256404"/>
    <n v="2603.3180291153199"/>
    <n v="2546.70254553512"/>
    <n v="-2.1747432678996299"/>
    <n v="218.144238171241"/>
    <s v="Ebonyi (3157.2)"/>
    <x v="4"/>
    <n v="3157.2"/>
    <s v="Adamawa (1750)"/>
    <x v="2"/>
    <n v="1750"/>
    <s v="selected_food_Nov_2024.xlsx"/>
  </r>
  <r>
    <x v="1"/>
    <x v="3"/>
    <s v="Beans:white black eye. sold loose"/>
    <x v="0"/>
    <n v="829.861926891199"/>
    <n v="2546.70254553512"/>
    <n v="2319.0422043194098"/>
    <n v="-8.9394162508238804"/>
    <n v="179.44916246572799"/>
    <s v="Abuja (3176.63)"/>
    <x v="5"/>
    <n v="3176.63"/>
    <s v="Yobe (1534.59)"/>
    <x v="7"/>
    <n v="1534.59"/>
    <s v="selected_food_Dec_2024.xlsx"/>
  </r>
  <r>
    <x v="2"/>
    <x v="3"/>
    <s v="Beans white"/>
    <x v="0"/>
    <n v="921.37822431816505"/>
    <n v="2319.0422043194098"/>
    <n v="2123.8529942048899"/>
    <n v="-8.4168028400241699"/>
    <n v="130.50826882484401"/>
    <s v="Enugu (2722.76)"/>
    <x v="2"/>
    <n v="2722.76"/>
    <s v="Sokoto (1370.59)"/>
    <x v="8"/>
    <n v="1370.59"/>
    <s v="Selected_food_table_Jan25.xlsx"/>
  </r>
  <r>
    <x v="3"/>
    <x v="3"/>
    <s v="Beans white"/>
    <x v="0"/>
    <n v="1156.82214217098"/>
    <n v="2123.8529942048899"/>
    <n v="2114.3292357077398"/>
    <n v="-0.44841891237925502"/>
    <n v="82.770467354629602"/>
    <s v="Abia (2825.33)"/>
    <x v="3"/>
    <n v="2825.33"/>
    <s v="Yobe (1371.48)"/>
    <x v="7"/>
    <n v="1371.48"/>
    <s v="selected_food_table_Feb_25.xlsx"/>
  </r>
  <r>
    <x v="4"/>
    <x v="3"/>
    <s v="Beans white"/>
    <x v="0"/>
    <n v="1192.21581263648"/>
    <n v="2114.3292357077398"/>
    <n v="2215.1070570947099"/>
    <n v="4.7664204649391397"/>
    <n v="85.797490153749493"/>
    <s v="Enugu (3122.19)"/>
    <x v="2"/>
    <n v="3122.19"/>
    <s v="Abuja (1521.57)"/>
    <x v="9"/>
    <n v="1521.57"/>
    <s v="selected_food_table_Mar_25.xlsx"/>
  </r>
  <r>
    <x v="5"/>
    <x v="3"/>
    <s v="Beans white"/>
    <x v="0"/>
    <n v="1313.47897460487"/>
    <n v="2215.1070570947099"/>
    <n v="2097.3099314450801"/>
    <n v="-5.3178976281233803"/>
    <n v="59.675942439505199"/>
    <s v="Enugu (3100)"/>
    <x v="2"/>
    <n v="3100"/>
    <s v="Kaduna (1503.96)"/>
    <x v="3"/>
    <n v="1503.96"/>
    <s v="selected_food_table_Apr25.xlsx"/>
  </r>
  <r>
    <x v="0"/>
    <x v="4"/>
    <s v="Beef Bone in"/>
    <x v="2"/>
    <n v="2630.0152354513102"/>
    <n v="4914.6218834458696"/>
    <n v="5073.7358123538697"/>
    <n v="3.2375619667496198"/>
    <n v="92.916593940689395"/>
    <s v="Niger (6244.03)"/>
    <x v="6"/>
    <n v="6244.03"/>
    <s v="Anambra (3650.97)"/>
    <x v="10"/>
    <n v="3650.97"/>
    <s v="selected_food_Nov_2024.xlsx"/>
  </r>
  <r>
    <x v="1"/>
    <x v="4"/>
    <s v="Beef Bone in"/>
    <x v="2"/>
    <n v="2696.8788073791302"/>
    <n v="5073.7358123538697"/>
    <n v="5153.1848804249303"/>
    <n v="1.56588894277091"/>
    <n v="91.079586755063104"/>
    <s v="Akwa Ibom (6466.67)"/>
    <x v="7"/>
    <n v="6466.67"/>
    <s v="Abia (3792.87)"/>
    <x v="11"/>
    <n v="3792.87"/>
    <s v="selected_food_Dec_2024.xlsx"/>
  </r>
  <r>
    <x v="0"/>
    <x v="5"/>
    <s v="Beef,boneless"/>
    <x v="0"/>
    <n v="3029.50097242725"/>
    <n v="5858.5767455405603"/>
    <n v="6001.3163065393601"/>
    <n v="2.4364204344929101"/>
    <n v="98.095869952174894"/>
    <s v="Enugu (7020.85)"/>
    <x v="2"/>
    <n v="7020.85"/>
    <s v="Yobe (4800)"/>
    <x v="7"/>
    <n v="4800"/>
    <s v="selected_food_Nov_2024.xlsx"/>
  </r>
  <r>
    <x v="1"/>
    <x v="5"/>
    <s v="Beef,boneless"/>
    <x v="0"/>
    <n v="3146.9394335001102"/>
    <n v="6001.3163065393501"/>
    <n v="6150.1828826503897"/>
    <n v="2.48056540444014"/>
    <n v="95.433786147259696"/>
    <s v="Enugu (7316.2)"/>
    <x v="2"/>
    <n v="7316.2"/>
    <s v="Borno (5041.6)"/>
    <x v="0"/>
    <n v="5041.6000000000004"/>
    <s v="selected_food_Dec_2024.xlsx"/>
  </r>
  <r>
    <x v="2"/>
    <x v="5"/>
    <s v="Beef Boneless"/>
    <x v="0"/>
    <n v="3315.7811060455301"/>
    <n v="6150.1828826503897"/>
    <n v="6122.5682943123202"/>
    <n v="-0.44900434450441001"/>
    <n v="84.649351042784104"/>
    <s v="Imo (8239.82)"/>
    <x v="8"/>
    <n v="8239.82"/>
    <s v="Benue (4200)"/>
    <x v="12"/>
    <n v="4200"/>
    <s v="Selected_food_table_Jan25.xlsx"/>
  </r>
  <r>
    <x v="3"/>
    <x v="5"/>
    <s v="Beef Boneless"/>
    <x v="0"/>
    <n v="3654.5612252640499"/>
    <n v="6122.5682943123202"/>
    <n v="6269.45881945785"/>
    <n v="2.3991651556093498"/>
    <n v="71.551615447484195"/>
    <s v="Imo (8392.86)"/>
    <x v="8"/>
    <n v="8392.86"/>
    <s v="Benue (4250)"/>
    <x v="12"/>
    <n v="4250"/>
    <s v="selected_food_table_Feb_25.xlsx"/>
  </r>
  <r>
    <x v="4"/>
    <x v="5"/>
    <s v="Beef Boneless"/>
    <x v="0"/>
    <n v="4309.1643195464203"/>
    <n v="6269.45881945785"/>
    <n v="6523.5009907142503"/>
    <n v="4.0520590145350104"/>
    <n v="51.386684446531198"/>
    <s v="Imo (8569.93)"/>
    <x v="8"/>
    <n v="8569.93"/>
    <s v="Yobe (5250)"/>
    <x v="7"/>
    <n v="5250"/>
    <s v="selected_food_table_Mar_25.xlsx"/>
  </r>
  <r>
    <x v="5"/>
    <x v="5"/>
    <s v="Beef Boneless"/>
    <x v="0"/>
    <n v="4711.6469536859704"/>
    <n v="6523.5009907142503"/>
    <n v="6544.5368584491798"/>
    <n v="0.322462857978698"/>
    <n v="38.901257305140703"/>
    <s v="Abia (8673.77)"/>
    <x v="3"/>
    <n v="8673.77"/>
    <s v="Yobe (5300)"/>
    <x v="7"/>
    <n v="5300"/>
    <s v="selected_food_table_Apr25.xlsx"/>
  </r>
  <r>
    <x v="0"/>
    <x v="6"/>
    <s v="Bread sliced 500g"/>
    <x v="1"/>
    <n v="814.53124546624497"/>
    <n v="1550.2427261544999"/>
    <n v="1588.02666383821"/>
    <n v="2.4372917251114399"/>
    <n v="94.962031558311395"/>
    <s v="Rivers (1881.67)"/>
    <x v="9"/>
    <n v="1881.67"/>
    <s v="Yobe (1120.4)"/>
    <x v="7"/>
    <n v="1120.4000000000001"/>
    <s v="selected_food_Nov_2024.xlsx"/>
  </r>
  <r>
    <x v="1"/>
    <x v="6"/>
    <s v="Bread sliced 500g"/>
    <x v="1"/>
    <n v="855.04745804083302"/>
    <n v="1588.02666383821"/>
    <n v="1610.8261641694201"/>
    <n v="1.4357126898679899"/>
    <n v="88.390264074967305"/>
    <s v="Akwa Ibom (1890)"/>
    <x v="7"/>
    <n v="1890"/>
    <s v="Benue (1299.01)"/>
    <x v="12"/>
    <n v="1299.01"/>
    <s v="selected_food_Dec_2024.xlsx"/>
  </r>
  <r>
    <x v="2"/>
    <x v="6"/>
    <s v="Bread (sliced), 450g"/>
    <x v="1"/>
    <m/>
    <m/>
    <n v="1604.7842497597601"/>
    <m/>
    <m/>
    <s v="Ogun (1950)"/>
    <x v="10"/>
    <n v="1950"/>
    <s v="Osun (1300)"/>
    <x v="13"/>
    <n v="1300"/>
    <s v="Selected_food_table_Jan25.xlsx"/>
  </r>
  <r>
    <x v="3"/>
    <x v="6"/>
    <s v="Bread (sliced), 450g"/>
    <x v="1"/>
    <m/>
    <n v="1604.7842497597601"/>
    <n v="1633.18538583033"/>
    <n v="1.76977908867328"/>
    <m/>
    <s v="Ogun (1950)"/>
    <x v="10"/>
    <n v="1950"/>
    <s v="Osun (1256.25)"/>
    <x v="13"/>
    <n v="1256.25"/>
    <s v="selected_food_table_Feb_25.xlsx"/>
  </r>
  <r>
    <x v="4"/>
    <x v="6"/>
    <s v="Bread (sliced), 450g"/>
    <x v="1"/>
    <m/>
    <n v="1633.18538583033"/>
    <n v="1680.17469739189"/>
    <n v="2.8771572394197"/>
    <m/>
    <s v="Ogun (2187.92)"/>
    <x v="10"/>
    <n v="2187.92"/>
    <s v="Osun (1256.25)"/>
    <x v="13"/>
    <n v="1256.25"/>
    <s v="selected_food_table_Mar_25.xlsx"/>
  </r>
  <r>
    <x v="5"/>
    <x v="6"/>
    <s v="Bread (sliced), 450g"/>
    <x v="1"/>
    <m/>
    <n v="1680.17469739189"/>
    <n v="1688.39984573376"/>
    <n v="0.48954125750331101"/>
    <m/>
    <s v="Ogun (2187.92)"/>
    <x v="10"/>
    <n v="2187.92"/>
    <s v="Osun (1256.25)"/>
    <x v="13"/>
    <n v="1256.25"/>
    <s v="selected_food_table_Apr25.xlsx"/>
  </r>
  <r>
    <x v="0"/>
    <x v="7"/>
    <s v="Bread unsliced 500g"/>
    <x v="1"/>
    <n v="795.82989255489304"/>
    <n v="1454.43619563583"/>
    <n v="1486.2466029906"/>
    <n v="2.1871297929893299"/>
    <n v="86.754307282832798"/>
    <s v="Delta (1805.42)"/>
    <x v="11"/>
    <n v="1805.42"/>
    <s v="Borno (1053.56)"/>
    <x v="0"/>
    <n v="1053.56"/>
    <s v="selected_food_Nov_2024.xlsx"/>
  </r>
  <r>
    <x v="1"/>
    <x v="7"/>
    <s v="Bread unsliced 500g"/>
    <x v="1"/>
    <n v="815.10930657579604"/>
    <n v="1486.2466029906"/>
    <n v="1512.1275136475199"/>
    <n v="1.7413604582736399"/>
    <n v="85.512237616305995"/>
    <s v="Delta (1823.75)"/>
    <x v="11"/>
    <n v="1823.75"/>
    <s v="Yobe (1112.87)"/>
    <x v="7"/>
    <n v="1112.8699999999999"/>
    <s v="selected_food_Dec_2024.xlsx"/>
  </r>
  <r>
    <x v="2"/>
    <x v="7"/>
    <s v="Bread (unsliced), 450g"/>
    <x v="1"/>
    <m/>
    <m/>
    <n v="1452.9829733163899"/>
    <m/>
    <m/>
    <s v="Akwa Ibom (1800)"/>
    <x v="7"/>
    <n v="1800"/>
    <s v="Yobe (900)"/>
    <x v="7"/>
    <n v="900"/>
    <s v="Selected_food_table_Jan25.xlsx"/>
  </r>
  <r>
    <x v="3"/>
    <x v="7"/>
    <s v="Bread (unsliced), 450g"/>
    <x v="1"/>
    <m/>
    <n v="1452.9829733163899"/>
    <n v="1497.4271531464999"/>
    <n v="3.0588231690474101"/>
    <m/>
    <s v="Akwa Ibom (1900)"/>
    <x v="7"/>
    <n v="1900"/>
    <s v="Yobe (900)"/>
    <x v="7"/>
    <n v="900"/>
    <s v="selected_food_table_Feb_25.xlsx"/>
  </r>
  <r>
    <x v="4"/>
    <x v="7"/>
    <s v="Bread (unsliced), 450g"/>
    <x v="1"/>
    <m/>
    <n v="1497.4271531464999"/>
    <n v="1561.2438133998"/>
    <n v="4.2617539103121604"/>
    <m/>
    <s v="Ebonyi (1908.56)"/>
    <x v="4"/>
    <n v="1908.56"/>
    <s v="Yobe (960)"/>
    <x v="7"/>
    <n v="960"/>
    <s v="selected_food_table_Mar_25.xlsx"/>
  </r>
  <r>
    <x v="5"/>
    <x v="7"/>
    <s v="Bread (unsliced), 450g"/>
    <x v="1"/>
    <m/>
    <n v="1561.2438133998"/>
    <n v="1547.5179018418"/>
    <n v="-0.87916515282223795"/>
    <m/>
    <s v="Ebonyi (1922.3)"/>
    <x v="4"/>
    <n v="1922.3"/>
    <s v="Ekiti (1000)"/>
    <x v="14"/>
    <n v="1000"/>
    <s v="selected_food_table_Apr25.xlsx"/>
  </r>
  <r>
    <x v="2"/>
    <x v="8"/>
    <s v="Carrots, fresh"/>
    <x v="3"/>
    <m/>
    <m/>
    <n v="1787.16145133333"/>
    <m/>
    <m/>
    <s v="Bayelsa (2572.73)"/>
    <x v="12"/>
    <n v="2572.73"/>
    <s v="Benue (1400)"/>
    <x v="12"/>
    <n v="1400"/>
    <s v="Selected_food_table_Jan25.xlsx"/>
  </r>
  <r>
    <x v="3"/>
    <x v="8"/>
    <s v="Carrots, fresh"/>
    <x v="3"/>
    <m/>
    <n v="1787.16145133333"/>
    <n v="1838.5928269118201"/>
    <n v="2.8778248064896501"/>
    <m/>
    <s v="Imo (2557.14)"/>
    <x v="8"/>
    <n v="2557.14"/>
    <s v="Zamfara (1410)"/>
    <x v="15"/>
    <n v="1410"/>
    <s v="selected_food_table_Feb_25.xlsx"/>
  </r>
  <r>
    <x v="4"/>
    <x v="8"/>
    <s v="Carrots, fresh"/>
    <x v="3"/>
    <m/>
    <n v="1838.5928269118201"/>
    <n v="1947.04973768073"/>
    <n v="5.8989086208432404"/>
    <m/>
    <s v="Imo (2980.7)"/>
    <x v="8"/>
    <n v="2980.7"/>
    <s v="Zamfara (1450)"/>
    <x v="15"/>
    <n v="1450"/>
    <s v="selected_food_table_Mar_25.xlsx"/>
  </r>
  <r>
    <x v="5"/>
    <x v="8"/>
    <s v="Carrots, fresh"/>
    <x v="3"/>
    <m/>
    <n v="1947.04973768073"/>
    <n v="1931.31785704035"/>
    <n v="-0.80798555557795004"/>
    <m/>
    <s v="Imo (3000)"/>
    <x v="8"/>
    <n v="3000"/>
    <s v="Borno (1200)"/>
    <x v="0"/>
    <n v="1200"/>
    <s v="selected_food_table_Apr25.xlsx"/>
  </r>
  <r>
    <x v="0"/>
    <x v="9"/>
    <s v="Catfish (obokun) fresh"/>
    <x v="0"/>
    <n v="2231.2344149340001"/>
    <n v="4148.7413673875999"/>
    <n v="4259.9869529958096"/>
    <n v="2.6814297580150099"/>
    <n v="90.925118601750199"/>
    <s v="Bayelsa (5885.71)"/>
    <x v="12"/>
    <n v="5885.71"/>
    <s v="Adamawa (3000)"/>
    <x v="2"/>
    <n v="3000"/>
    <s v="selected_food_Nov_2024.xlsx"/>
  </r>
  <r>
    <x v="1"/>
    <x v="9"/>
    <s v="Catfish (obokun) fresh"/>
    <x v="0"/>
    <n v="2347.40830920895"/>
    <n v="4259.9869529958096"/>
    <n v="4347.44455117503"/>
    <n v="2.0530015501038599"/>
    <n v="85.201889851027403"/>
    <s v="Bayelsa (5815.86)"/>
    <x v="12"/>
    <n v="5815.86"/>
    <s v="Nasarawa (3110.1)"/>
    <x v="16"/>
    <n v="3110.1"/>
    <s v="selected_food_Dec_2024.xlsx"/>
  </r>
  <r>
    <x v="2"/>
    <x v="9"/>
    <s v="Cat fresh fish"/>
    <x v="0"/>
    <n v="2497.3741247641401"/>
    <n v="4347.44455117503"/>
    <n v="5226.8705778404701"/>
    <n v="20.228573735983399"/>
    <n v="109.294655775058"/>
    <s v="Plateau (7608.1)"/>
    <x v="13"/>
    <n v="7608.1"/>
    <s v="Kaduna (3442.5)"/>
    <x v="3"/>
    <n v="3442.5"/>
    <s v="Selected_food_table_Jan25.xlsx"/>
  </r>
  <r>
    <x v="3"/>
    <x v="9"/>
    <s v="Cat fresh fish"/>
    <x v="0"/>
    <n v="2758.3787226341501"/>
    <n v="5226.8705778404701"/>
    <n v="5284.3595413749999"/>
    <n v="1.0998734841123099"/>
    <n v="91.574836987164403"/>
    <s v="Plateau (7608.1)"/>
    <x v="13"/>
    <n v="7608.1"/>
    <s v="Kaduna (3500)"/>
    <x v="3"/>
    <n v="3500"/>
    <s v="selected_food_table_Feb_25.xlsx"/>
  </r>
  <r>
    <x v="4"/>
    <x v="9"/>
    <s v="Cat fresh fish"/>
    <x v="0"/>
    <n v="3043.4361968541102"/>
    <n v="5284.3595413749999"/>
    <n v="5507.1099405631503"/>
    <n v="4.2152771295003602"/>
    <n v="80.950398968627894"/>
    <s v="Plateau (8213.1)"/>
    <x v="13"/>
    <n v="8213.1"/>
    <s v="Zamfara (3590)"/>
    <x v="15"/>
    <n v="3590"/>
    <s v="selected_food_table_Mar_25.xlsx"/>
  </r>
  <r>
    <x v="5"/>
    <x v="9"/>
    <s v="Cat fresh fish"/>
    <x v="0"/>
    <n v="3140.5331120351598"/>
    <n v="5507.1099405631503"/>
    <n v="5572.49342258056"/>
    <n v="1.1872557970164701"/>
    <n v="77.437817841360598"/>
    <s v="Plateau (8213.1)"/>
    <x v="13"/>
    <n v="8213.1"/>
    <s v="Zamfara (3615.22)"/>
    <x v="15"/>
    <n v="3615.22"/>
    <s v="selected_food_table_Apr25.xlsx"/>
  </r>
  <r>
    <x v="0"/>
    <x v="10"/>
    <s v="Catfish :dried"/>
    <x v="2"/>
    <n v="3276.6288684205401"/>
    <n v="5571.4419749531298"/>
    <n v="5787.7444950687704"/>
    <n v="3.8823435851624502"/>
    <n v="76.637169709692898"/>
    <s v="Imo (12181.27)"/>
    <x v="8"/>
    <n v="12181.27"/>
    <s v="Kano (3950.44)"/>
    <x v="17"/>
    <n v="3950.44"/>
    <s v="selected_food_Nov_2024.xlsx"/>
  </r>
  <r>
    <x v="1"/>
    <x v="10"/>
    <s v="Catfish :dried"/>
    <x v="2"/>
    <n v="3357.5090443090398"/>
    <n v="5787.7444950687704"/>
    <n v="6044.0788060269097"/>
    <n v="4.4289154639866597"/>
    <n v="80.0167542741722"/>
    <s v="Imo (12478.59)"/>
    <x v="8"/>
    <n v="12478.59"/>
    <s v="Katsina (4100.14)"/>
    <x v="18"/>
    <n v="4100.1400000000003"/>
    <s v="selected_food_Dec_2024.xlsx"/>
  </r>
  <r>
    <x v="0"/>
    <x v="11"/>
    <s v="Catfish Smoked"/>
    <x v="2"/>
    <n v="2816.4811145368699"/>
    <n v="4239.9878785471701"/>
    <n v="4352.7683447761101"/>
    <n v="2.6599242606227298"/>
    <n v="54.546335223407397"/>
    <s v="Yobe (6255.22)"/>
    <x v="14"/>
    <n v="6255.22"/>
    <s v="Kebbi (3391.67)"/>
    <x v="19"/>
    <n v="3391.67"/>
    <s v="selected_food_Nov_2024.xlsx"/>
  </r>
  <r>
    <x v="1"/>
    <x v="11"/>
    <s v="Catfish Smoked"/>
    <x v="2"/>
    <n v="2869.4043681471298"/>
    <n v="4352.7683447761101"/>
    <n v="4475.0963655916903"/>
    <n v="2.8103498997916998"/>
    <n v="55.959069947377799"/>
    <s v="Yobe (7142.86)"/>
    <x v="14"/>
    <n v="7142.86"/>
    <s v="Kebbi (3310.57)"/>
    <x v="19"/>
    <n v="3310.57"/>
    <s v="selected_food_Dec_2024.xlsx"/>
  </r>
  <r>
    <x v="0"/>
    <x v="12"/>
    <s v="Chicken Wings"/>
    <x v="0"/>
    <n v="2046.5024153883601"/>
    <n v="4193.9661127611698"/>
    <n v="4316.4129177333898"/>
    <n v="2.9195945241342001"/>
    <n v="110.916580663516"/>
    <s v="Ondo (6100)"/>
    <x v="15"/>
    <n v="6100"/>
    <s v="Adamawa (2200)"/>
    <x v="2"/>
    <n v="2200"/>
    <s v="selected_food_Nov_2024.xlsx"/>
  </r>
  <r>
    <x v="1"/>
    <x v="12"/>
    <s v="Chicken Wings"/>
    <x v="0"/>
    <n v="2264.8681978322202"/>
    <n v="4316.4129177333898"/>
    <n v="4422.8021562329404"/>
    <n v="2.46476045103263"/>
    <n v="95.278566782214995"/>
    <s v="Ondo (6120)"/>
    <x v="15"/>
    <n v="6120"/>
    <s v="Adamawa (2300)"/>
    <x v="2"/>
    <n v="2300"/>
    <s v="selected_food_Dec_2024.xlsx"/>
  </r>
  <r>
    <x v="2"/>
    <x v="12"/>
    <s v="Chicken Wings"/>
    <x v="0"/>
    <n v="2506.80920841854"/>
    <n v="4422.8021562329404"/>
    <n v="4340.1077806622197"/>
    <n v="-1.8697281191784501"/>
    <n v="73.132752428344801"/>
    <s v="Niger (5703.26)"/>
    <x v="6"/>
    <n v="5703.26"/>
    <s v="Yobe (2709.25)"/>
    <x v="7"/>
    <n v="2709.25"/>
    <s v="Selected_food_table_Jan25.xlsx"/>
  </r>
  <r>
    <x v="3"/>
    <x v="12"/>
    <s v="Chicken Wings"/>
    <x v="0"/>
    <n v="2751.9041571856501"/>
    <n v="4340.1077806622197"/>
    <n v="4394.4053790468497"/>
    <n v="1.25106566769033"/>
    <n v="59.685989338413698"/>
    <s v="Niger (5598.22)"/>
    <x v="6"/>
    <n v="5598.22"/>
    <s v="Yobe (3009.25)"/>
    <x v="7"/>
    <n v="3009.25"/>
    <s v="selected_food_table_Feb_25.xlsx"/>
  </r>
  <r>
    <x v="4"/>
    <x v="12"/>
    <s v="Chicken Wings"/>
    <x v="0"/>
    <n v="2992.3725617801902"/>
    <n v="4394.4053790468497"/>
    <n v="4671.3133143490404"/>
    <n v="6.3013743935079196"/>
    <n v="56.107343517747999"/>
    <s v="Ogun (6324.11)"/>
    <x v="10"/>
    <n v="6324.11"/>
    <s v="Yobe (3184.25)"/>
    <x v="7"/>
    <n v="3184.25"/>
    <s v="selected_food_table_Mar_25.xlsx"/>
  </r>
  <r>
    <x v="5"/>
    <x v="12"/>
    <s v="Chicken Wings"/>
    <x v="0"/>
    <n v="3330.3014098633998"/>
    <n v="4671.3133143490404"/>
    <n v="4771.9236733382304"/>
    <n v="2.1537917116401202"/>
    <n v="43.288041713136003"/>
    <s v="Ogun (6324.11)"/>
    <x v="10"/>
    <n v="6324.11"/>
    <s v="Yobe (3175)"/>
    <x v="7"/>
    <n v="3175"/>
    <s v="selected_food_table_Apr25.xlsx"/>
  </r>
  <r>
    <x v="0"/>
    <x v="13"/>
    <s v="Chicken Feet"/>
    <x v="0"/>
    <n v="1791.09907843934"/>
    <n v="3267.62425232655"/>
    <n v="3336.7032495405501"/>
    <n v="2.1140434725571402"/>
    <n v="86.293616567987797"/>
    <s v="Niger (5713.05)"/>
    <x v="6"/>
    <n v="5713.05"/>
    <s v="Taraba (1200)"/>
    <x v="1"/>
    <n v="1200"/>
    <s v="selected_food_Nov_2024.xlsx"/>
  </r>
  <r>
    <x v="1"/>
    <x v="13"/>
    <s v="Chicken Feet"/>
    <x v="0"/>
    <n v="1950.5385520750101"/>
    <n v="3336.7032495405501"/>
    <n v="3397.83335015904"/>
    <n v="1.83205086118798"/>
    <n v="74.199753526757505"/>
    <s v="Niger (5715.05)"/>
    <x v="6"/>
    <n v="5715.05"/>
    <s v="Taraba (1250)"/>
    <x v="1"/>
    <n v="1250"/>
    <s v="selected_food_Dec_2024.xlsx"/>
  </r>
  <r>
    <x v="2"/>
    <x v="13"/>
    <s v="Chicken Feet"/>
    <x v="0"/>
    <n v="2052.1003035521198"/>
    <n v="3397.83335015904"/>
    <n v="3293.6295746176602"/>
    <n v="-3.0667712275090402"/>
    <n v="60.500418469627803"/>
    <s v="Ondo (4750)"/>
    <x v="15"/>
    <n v="4750"/>
    <s v="Taraba (2000)"/>
    <x v="1"/>
    <n v="2000"/>
    <s v="Selected_food_table_Jan25.xlsx"/>
  </r>
  <r>
    <x v="3"/>
    <x v="13"/>
    <s v="Chicken Feet"/>
    <x v="0"/>
    <n v="2313.4976797709301"/>
    <n v="3293.6295746176602"/>
    <n v="3346.6242356636099"/>
    <n v="1.60900489400373"/>
    <n v="44.656476854343403"/>
    <s v="Ondo (4750)"/>
    <x v="15"/>
    <n v="4750"/>
    <s v="Taraba (2100)"/>
    <x v="1"/>
    <n v="2100"/>
    <s v="selected_food_table_Feb_25.xlsx"/>
  </r>
  <r>
    <x v="4"/>
    <x v="13"/>
    <s v="Chicken Feet"/>
    <x v="0"/>
    <n v="2440.3538836121302"/>
    <n v="3346.6242356636099"/>
    <n v="3487.0587798892602"/>
    <n v="4.1963045246935797"/>
    <n v="42.891520910395002"/>
    <s v="Ondo (4750)"/>
    <x v="15"/>
    <n v="4750"/>
    <s v="Kano (2281.25)"/>
    <x v="17"/>
    <n v="2281.25"/>
    <s v="selected_food_table_Mar_25.xlsx"/>
  </r>
  <r>
    <x v="5"/>
    <x v="13"/>
    <s v="Chicken Feet"/>
    <x v="0"/>
    <n v="2660.8970751670599"/>
    <n v="3487.0587798892602"/>
    <n v="3502.69704413096"/>
    <n v="0.44846574803643802"/>
    <n v="31.635946268648599"/>
    <s v="Ondo (4750)"/>
    <x v="15"/>
    <n v="4750"/>
    <s v="Gombe (2300)"/>
    <x v="20"/>
    <n v="2300"/>
    <s v="selected_food_table_Apr25.xlsx"/>
  </r>
  <r>
    <x v="0"/>
    <x v="14"/>
    <s v="Frozen chicken"/>
    <x v="0"/>
    <n v="3645.8919819819798"/>
    <n v="5971.9762024350603"/>
    <n v="6130.51459408545"/>
    <n v="2.65470568328365"/>
    <n v="68.148552518354506"/>
    <s v="Gombe (8900)"/>
    <x v="0"/>
    <n v="8900"/>
    <s v="Ondo (4850)"/>
    <x v="21"/>
    <n v="4850"/>
    <s v="selected_food_Nov_2024.xlsx"/>
  </r>
  <r>
    <x v="1"/>
    <x v="14"/>
    <s v="Frozen chicken"/>
    <x v="0"/>
    <n v="3771.4072818489899"/>
    <n v="6130.51459408545"/>
    <n v="6473.80641713777"/>
    <n v="5.5997227929858502"/>
    <n v="71.654927016100103"/>
    <s v="Yobe (12000)"/>
    <x v="14"/>
    <n v="12000"/>
    <s v="Ondo (4870)"/>
    <x v="21"/>
    <n v="4870"/>
    <s v="selected_food_Dec_2024.xlsx"/>
  </r>
  <r>
    <x v="2"/>
    <x v="14"/>
    <s v="Chicken meat (Frozen)"/>
    <x v="0"/>
    <n v="4007.5773169253198"/>
    <n v="6473.80641713777"/>
    <n v="5497.0311353705501"/>
    <n v="-15.088113836420201"/>
    <n v="37.1659409328118"/>
    <s v="Ebonyi (7800)"/>
    <x v="4"/>
    <n v="7800"/>
    <s v="Sokoto (4000)"/>
    <x v="8"/>
    <n v="4000"/>
    <s v="Selected_food_table_Jan25.xlsx"/>
  </r>
  <r>
    <x v="3"/>
    <x v="14"/>
    <s v="Chicken meat (Frozen)"/>
    <x v="0"/>
    <n v="4370.7821115981196"/>
    <n v="5497.0311353705501"/>
    <n v="5552.7027027026998"/>
    <n v="1.0127569948428601"/>
    <n v="27.041398105119299"/>
    <s v="Enugu (8000)"/>
    <x v="2"/>
    <n v="8000"/>
    <s v="Sokoto (4200)"/>
    <x v="8"/>
    <n v="4200"/>
    <s v="selected_food_table_Feb_25.xlsx"/>
  </r>
  <r>
    <x v="4"/>
    <x v="14"/>
    <s v="Chicken meat (Frozen)"/>
    <x v="0"/>
    <n v="4564.5804396781796"/>
    <n v="5552.7027027026998"/>
    <n v="5675.6756756756804"/>
    <n v="2.21465076660989"/>
    <n v="24.341672814858601"/>
    <s v="Enugu (8200)"/>
    <x v="2"/>
    <n v="8200"/>
    <s v="Sokoto (4500)"/>
    <x v="8"/>
    <n v="4500"/>
    <s v="selected_food_table_Mar_25.xlsx"/>
  </r>
  <r>
    <x v="5"/>
    <x v="14"/>
    <s v="Chicken meat (Frozen)"/>
    <x v="0"/>
    <n v="4829.1307681304197"/>
    <n v="5675.6756756756804"/>
    <n v="5740.1492438265304"/>
    <n v="1.1359628674198701"/>
    <n v="18.8650612178144"/>
    <s v="Enugu (8216.56)"/>
    <x v="2"/>
    <n v="8216.56"/>
    <s v="Gombe (4600)"/>
    <x v="20"/>
    <n v="4600"/>
    <s v="selected_food_table_Apr25.xlsx"/>
  </r>
  <r>
    <x v="2"/>
    <x v="15"/>
    <s v="Cray fish small white"/>
    <x v="3"/>
    <m/>
    <m/>
    <n v="6227.0407199211704"/>
    <m/>
    <m/>
    <s v="Abuja (7800)"/>
    <x v="5"/>
    <n v="7800"/>
    <s v="Bayelsa (4000)"/>
    <x v="22"/>
    <n v="4000"/>
    <s v="Selected_food_table_Jan25.xlsx"/>
  </r>
  <r>
    <x v="3"/>
    <x v="15"/>
    <s v="Cray fish small white"/>
    <x v="3"/>
    <m/>
    <n v="6227.0407199211704"/>
    <n v="6440.4410828017999"/>
    <n v="3.4269948195124802"/>
    <m/>
    <s v="Kogi (8000)"/>
    <x v="16"/>
    <n v="8000"/>
    <s v="Bayelsa (4300)"/>
    <x v="22"/>
    <n v="4300"/>
    <s v="selected_food_table_Feb_25.xlsx"/>
  </r>
  <r>
    <x v="4"/>
    <x v="15"/>
    <s v="Cray fish small white"/>
    <x v="3"/>
    <m/>
    <n v="6440.4410828017999"/>
    <n v="6657.0025353562396"/>
    <n v="3.3625251713385098"/>
    <m/>
    <s v="Kogi (8000)"/>
    <x v="16"/>
    <n v="8000"/>
    <s v="Bayelsa (4500)"/>
    <x v="22"/>
    <n v="4500"/>
    <s v="selected_food_table_Mar_25.xlsx"/>
  </r>
  <r>
    <x v="5"/>
    <x v="15"/>
    <s v="Cray fish small white"/>
    <x v="3"/>
    <m/>
    <n v="6657.0025353562396"/>
    <n v="6655.6615288069197"/>
    <n v="-2.0144299813636399E-2"/>
    <m/>
    <s v="Kogi (8000)"/>
    <x v="16"/>
    <n v="8000"/>
    <s v="Akwa Ibom (4576.03)"/>
    <x v="23"/>
    <n v="4576.03"/>
    <s v="selected_food_table_Apr25.xlsx"/>
  </r>
  <r>
    <x v="0"/>
    <x v="16"/>
    <s v="Dried Fish Sardine"/>
    <x v="2"/>
    <n v="2750.9146025268601"/>
    <n v="4641.9454427335304"/>
    <n v="4766.5638775357702"/>
    <n v="2.6846165328660101"/>
    <n v="73.271968281292004"/>
    <s v="Nasarawa (7474.67)"/>
    <x v="17"/>
    <n v="7474.67"/>
    <s v="Niger (2900.57)"/>
    <x v="4"/>
    <n v="2900.57"/>
    <s v="selected_food_Nov_2024.xlsx"/>
  </r>
  <r>
    <x v="1"/>
    <x v="16"/>
    <s v="Dried Fish Sardine"/>
    <x v="2"/>
    <n v="2863.9671019673401"/>
    <n v="4766.5638775357702"/>
    <n v="4908.4226209077997"/>
    <n v="2.9761217308047598"/>
    <n v="71.385440060958302"/>
    <s v="Nasarawa (7669.01)"/>
    <x v="17"/>
    <n v="7669.01"/>
    <s v="Niger (2903.57)"/>
    <x v="4"/>
    <n v="2903.57"/>
    <s v="selected_food_Dec_2024.xlsx"/>
  </r>
  <r>
    <x v="2"/>
    <x v="17"/>
    <s v="Dried fish, Bonga"/>
    <x v="3"/>
    <m/>
    <m/>
    <n v="6131.9801153648596"/>
    <m/>
    <m/>
    <s v="Enugu (8900)"/>
    <x v="2"/>
    <n v="8900"/>
    <s v="Bayelsa (4202.78)"/>
    <x v="22"/>
    <n v="4202.78"/>
    <s v="Selected_food_table_Jan25.xlsx"/>
  </r>
  <r>
    <x v="3"/>
    <x v="17"/>
    <s v="Dried fish, Bonga"/>
    <x v="3"/>
    <m/>
    <n v="6131.9801153648596"/>
    <n v="6160.0213093243201"/>
    <n v="0.45729427414805102"/>
    <m/>
    <s v="Enugu (9000)"/>
    <x v="2"/>
    <n v="9000"/>
    <s v="Adamawa (4000)"/>
    <x v="2"/>
    <n v="4000"/>
    <s v="selected_food_table_Feb_25.xlsx"/>
  </r>
  <r>
    <x v="4"/>
    <x v="17"/>
    <s v="Dried fish, Bonga"/>
    <x v="3"/>
    <m/>
    <n v="6160.0213093243201"/>
    <n v="6493.7843284955397"/>
    <n v="5.4182120874485502"/>
    <m/>
    <s v="Ebonyi (10004.01)"/>
    <x v="4"/>
    <n v="10004.01"/>
    <s v="Osun (4420)"/>
    <x v="13"/>
    <n v="4420"/>
    <s v="selected_food_table_Mar_25.xlsx"/>
  </r>
  <r>
    <x v="5"/>
    <x v="17"/>
    <s v="Dried fish, Bonga"/>
    <x v="3"/>
    <m/>
    <n v="6493.7843284955397"/>
    <n v="6657.7427764140602"/>
    <n v="2.52485206813915"/>
    <m/>
    <s v="Ebonyi (10000)"/>
    <x v="4"/>
    <n v="10000"/>
    <s v="Osun (4500)"/>
    <x v="13"/>
    <n v="4500"/>
    <s v="selected_food_table_Apr25.xlsx"/>
  </r>
  <r>
    <x v="0"/>
    <x v="18"/>
    <s v="Gari yellow,sold loose"/>
    <x v="0"/>
    <n v="581.09197915880702"/>
    <n v="1266.3149628077399"/>
    <n v="1311.0286836146099"/>
    <n v="3.53101101385794"/>
    <n v="125.614658373441"/>
    <s v="Gombe (1575)"/>
    <x v="0"/>
    <n v="1575"/>
    <s v="Kogi (1100.03)"/>
    <x v="5"/>
    <n v="1100.03"/>
    <s v="selected_food_Nov_2024.xlsx"/>
  </r>
  <r>
    <x v="1"/>
    <x v="18"/>
    <s v="Gari yellow,sold loose"/>
    <x v="0"/>
    <n v="598.75055476099703"/>
    <n v="1311.0286836146099"/>
    <n v="1296.9267315173299"/>
    <n v="-1.0756402414020301"/>
    <n v="116.605516471717"/>
    <s v="Gombe (1720)"/>
    <x v="0"/>
    <n v="1720"/>
    <s v="Kogi (1000.03)"/>
    <x v="5"/>
    <n v="1000.03"/>
    <s v="selected_food_Dec_2024.xlsx"/>
  </r>
  <r>
    <x v="2"/>
    <x v="18"/>
    <s v="Garri Yellow"/>
    <x v="0"/>
    <n v="624.21265890879499"/>
    <n v="1296.9267315173299"/>
    <n v="1358.95841842142"/>
    <n v="4.78297542926863"/>
    <n v="117.707603174382"/>
    <s v="Gombe (1692.31)"/>
    <x v="0"/>
    <n v="1692.31"/>
    <s v="Benue (980.24)"/>
    <x v="12"/>
    <n v="980.24"/>
    <s v="Selected_food_table_Jan25.xlsx"/>
  </r>
  <r>
    <x v="3"/>
    <x v="18"/>
    <s v="Garri Yellow"/>
    <x v="0"/>
    <n v="753.56404775216402"/>
    <n v="1358.95841842142"/>
    <n v="1378.1547063621399"/>
    <n v="1.4125736064111301"/>
    <n v="82.884880253124095"/>
    <s v="Kebbi (1744.39)"/>
    <x v="18"/>
    <n v="1744.39"/>
    <s v="Ekiti (961.54)"/>
    <x v="14"/>
    <n v="961.54"/>
    <s v="selected_food_table_Feb_25.xlsx"/>
  </r>
  <r>
    <x v="4"/>
    <x v="18"/>
    <s v="Garri Yellow"/>
    <x v="0"/>
    <n v="804.01182109351896"/>
    <n v="1378.1547063621399"/>
    <n v="1456.65126496469"/>
    <n v="5.6957726327946796"/>
    <n v="81.172866710283998"/>
    <s v="Katsina (1903.28)"/>
    <x v="19"/>
    <n v="1903.28"/>
    <s v="Oyo (1152.77)"/>
    <x v="24"/>
    <n v="1152.77"/>
    <s v="selected_food_table_Mar_25.xlsx"/>
  </r>
  <r>
    <x v="5"/>
    <x v="18"/>
    <s v="Garri Yellow"/>
    <x v="0"/>
    <n v="909.76592236758302"/>
    <n v="1456.65126496469"/>
    <n v="1422.33984770236"/>
    <n v="-2.3554997745570501"/>
    <n v="56.3412975505668"/>
    <s v="Yobe (2060)"/>
    <x v="14"/>
    <n v="2060"/>
    <s v="Oyo (1100)"/>
    <x v="24"/>
    <n v="1100"/>
    <s v="selected_food_table_Apr25.xlsx"/>
  </r>
  <r>
    <x v="0"/>
    <x v="19"/>
    <s v="Gari white,sold loose"/>
    <x v="0"/>
    <n v="548.95098552725005"/>
    <n v="1198.0471797591199"/>
    <n v="1205.3885873745801"/>
    <n v="0.61278117752677597"/>
    <n v="119.580366763863"/>
    <s v="Gombe (1550)"/>
    <x v="0"/>
    <n v="1550"/>
    <s v="Kogi (1000.04)"/>
    <x v="5"/>
    <n v="1000.04"/>
    <s v="selected_food_Nov_2024.xlsx"/>
  </r>
  <r>
    <x v="1"/>
    <x v="19"/>
    <s v="Gari white,sold loose"/>
    <x v="0"/>
    <n v="568.71977329388199"/>
    <n v="1205.3885873745801"/>
    <n v="1184.7661828727901"/>
    <n v="-1.7108511493960401"/>
    <n v="108.32160907839101"/>
    <s v="Gombe (1500)"/>
    <x v="0"/>
    <n v="1500"/>
    <s v="Kogi (800.1)"/>
    <x v="5"/>
    <n v="800.1"/>
    <s v="selected_food_Dec_2024.xlsx"/>
  </r>
  <r>
    <x v="2"/>
    <x v="19"/>
    <s v="Garri white"/>
    <x v="0"/>
    <n v="600.68719578202194"/>
    <n v="1184.7661828727901"/>
    <n v="1267.6348809931201"/>
    <n v="6.9945191986648503"/>
    <n v="111.030781061149"/>
    <s v="Abuja (1662.11)"/>
    <x v="5"/>
    <n v="1662.11"/>
    <s v="Oyo (909.09)"/>
    <x v="24"/>
    <n v="909.09"/>
    <s v="Selected_food_table_Jan25.xlsx"/>
  </r>
  <r>
    <x v="3"/>
    <x v="19"/>
    <s v="Garri white"/>
    <x v="0"/>
    <n v="723.44894482869699"/>
    <n v="1267.6348809931201"/>
    <n v="1277.24707039035"/>
    <n v="0.75827744576593703"/>
    <n v="76.549717781782505"/>
    <s v="Kebbi (1693.78)"/>
    <x v="18"/>
    <n v="1693.78"/>
    <s v="Ogun (923.61)"/>
    <x v="25"/>
    <n v="923.61"/>
    <s v="selected_food_table_Feb_25.xlsx"/>
  </r>
  <r>
    <x v="4"/>
    <x v="19"/>
    <s v="Garri white"/>
    <x v="0"/>
    <n v="749.89276917842096"/>
    <n v="1277.24707039035"/>
    <n v="1362.95931475153"/>
    <n v="6.7107019736586597"/>
    <n v="81.753894792822393"/>
    <s v="Abuja (1901.33)"/>
    <x v="5"/>
    <n v="1901.33"/>
    <s v="Ondo (950)"/>
    <x v="21"/>
    <n v="950"/>
    <s v="selected_food_table_Mar_25.xlsx"/>
  </r>
  <r>
    <x v="5"/>
    <x v="19"/>
    <s v="Garri white"/>
    <x v="0"/>
    <n v="851.80859011491202"/>
    <n v="1362.95931475153"/>
    <n v="1345.0978505149001"/>
    <n v="-1.3104913729495"/>
    <n v="57.910810729607803"/>
    <s v="Abuja (1902)"/>
    <x v="5"/>
    <n v="1902"/>
    <s v="Ondo (1000)"/>
    <x v="21"/>
    <n v="1000"/>
    <s v="selected_food_table_Apr25.xlsx"/>
  </r>
  <r>
    <x v="2"/>
    <x v="20"/>
    <s v="Ginger, fresh"/>
    <x v="3"/>
    <m/>
    <m/>
    <n v="4206.7995489414398"/>
    <m/>
    <m/>
    <s v="Oyo (5000)"/>
    <x v="20"/>
    <n v="5000"/>
    <s v="Katsina (2550)"/>
    <x v="18"/>
    <n v="2550"/>
    <s v="Selected_food_table_Jan25.xlsx"/>
  </r>
  <r>
    <x v="3"/>
    <x v="20"/>
    <s v="Ginger, fresh"/>
    <x v="3"/>
    <m/>
    <n v="4206.7995489414398"/>
    <n v="4371.8969465991004"/>
    <n v="3.9245368298853598"/>
    <m/>
    <s v="Rivers (5300)"/>
    <x v="9"/>
    <n v="5300"/>
    <s v="Katsina (2650)"/>
    <x v="18"/>
    <n v="2650"/>
    <s v="selected_food_table_Feb_25.xlsx"/>
  </r>
  <r>
    <x v="4"/>
    <x v="20"/>
    <s v="Ginger, fresh"/>
    <x v="3"/>
    <m/>
    <n v="4371.8969465991004"/>
    <n v="4600.2308180510399"/>
    <n v="5.2227642655108104"/>
    <m/>
    <s v="Ebonyi (6079.7)"/>
    <x v="4"/>
    <n v="6079.7"/>
    <s v="Katsina (3044.38)"/>
    <x v="18"/>
    <n v="3044.38"/>
    <s v="selected_food_table_Mar_25.xlsx"/>
  </r>
  <r>
    <x v="5"/>
    <x v="20"/>
    <s v="Ginger, fresh"/>
    <x v="3"/>
    <m/>
    <n v="4600.2308180510399"/>
    <n v="4970.65884257568"/>
    <n v="8.05237909087319"/>
    <m/>
    <s v="Ebonyi (6413.27)"/>
    <x v="4"/>
    <n v="6413.27"/>
    <s v="Adamawa (3800)"/>
    <x v="2"/>
    <n v="3800"/>
    <s v="selected_food_table_Apr25.xlsx"/>
  </r>
  <r>
    <x v="2"/>
    <x v="21"/>
    <s v="Goat Meat Bone in"/>
    <x v="3"/>
    <m/>
    <m/>
    <n v="6202.3575047263503"/>
    <m/>
    <m/>
    <s v="Akwa Ibom (8687.5)"/>
    <x v="7"/>
    <n v="8687.5"/>
    <s v="Kogi (3925)"/>
    <x v="5"/>
    <n v="3925"/>
    <s v="Selected_food_table_Jan25.xlsx"/>
  </r>
  <r>
    <x v="3"/>
    <x v="21"/>
    <s v="Goat Meat Bone in"/>
    <x v="3"/>
    <m/>
    <n v="6202.3575047263503"/>
    <n v="6298.8933956085602"/>
    <n v="1.5564386736599001"/>
    <m/>
    <s v="Akwa Ibom (9500)"/>
    <x v="7"/>
    <n v="9500"/>
    <s v="Kogi (3800)"/>
    <x v="5"/>
    <n v="3800"/>
    <s v="selected_food_table_Feb_25.xlsx"/>
  </r>
  <r>
    <x v="4"/>
    <x v="21"/>
    <s v="Goat Meat Bone in"/>
    <x v="3"/>
    <m/>
    <n v="6298.8933956085602"/>
    <n v="6892.4622955468003"/>
    <n v="9.4233838018605098"/>
    <m/>
    <s v="Akwa Ibom (10340)"/>
    <x v="7"/>
    <n v="10340"/>
    <s v="Kogi (3850)"/>
    <x v="5"/>
    <n v="3850"/>
    <s v="selected_food_table_Mar_25.xlsx"/>
  </r>
  <r>
    <x v="5"/>
    <x v="21"/>
    <s v="Goat Meat Bone in"/>
    <x v="3"/>
    <m/>
    <n v="6892.4622955468003"/>
    <n v="6708.4527520461797"/>
    <n v="-2.6697214378598502"/>
    <m/>
    <s v="Imo (9200)"/>
    <x v="8"/>
    <n v="9200"/>
    <s v="Kogi (4000)"/>
    <x v="5"/>
    <n v="4000"/>
    <s v="selected_food_table_Apr25.xlsx"/>
  </r>
  <r>
    <x v="0"/>
    <x v="22"/>
    <s v="Groundnut oil: 1 bottle, specify bottle"/>
    <x v="1"/>
    <n v="1738.96386786787"/>
    <n v="2928.91679572354"/>
    <n v="3165.3812084810802"/>
    <n v="8.0734424788985795"/>
    <n v="82.026853287189496"/>
    <s v="Ekiti (4100)"/>
    <x v="21"/>
    <n v="4100"/>
    <s v="Adamawa (2100)"/>
    <x v="2"/>
    <n v="2100"/>
    <s v="selected_food_Nov_2024.xlsx"/>
  </r>
  <r>
    <x v="1"/>
    <x v="22"/>
    <s v="Groundnut oil: 1 bottle, specify bottle"/>
    <x v="1"/>
    <n v="1806.9530192526399"/>
    <n v="3165.3812084810802"/>
    <n v="3328.1693203786999"/>
    <n v="5.1427648417655796"/>
    <n v="84.186820848017703"/>
    <s v="Osun (4133.33)"/>
    <x v="22"/>
    <n v="4133.33"/>
    <s v="Niger (2282.59)"/>
    <x v="4"/>
    <n v="2282.59"/>
    <s v="selected_food_Dec_2024.xlsx"/>
  </r>
  <r>
    <x v="2"/>
    <x v="22"/>
    <s v="Groundnut oil, 75cl"/>
    <x v="1"/>
    <m/>
    <m/>
    <n v="2939.7346322297299"/>
    <m/>
    <m/>
    <s v="Ogun (3900)"/>
    <x v="10"/>
    <n v="3900"/>
    <s v="Adamawa (2000)"/>
    <x v="2"/>
    <n v="2000"/>
    <s v="Selected_food_table_Jan25.xlsx"/>
  </r>
  <r>
    <x v="3"/>
    <x v="22"/>
    <s v="Groundnut oil, 75cl"/>
    <x v="1"/>
    <m/>
    <n v="2939.7346322297299"/>
    <n v="3039.8294761126099"/>
    <n v="3.4048938562513298"/>
    <m/>
    <s v="Ogun (3900)"/>
    <x v="10"/>
    <n v="3900"/>
    <s v="Abuja (2250)"/>
    <x v="9"/>
    <n v="2250"/>
    <s v="selected_food_table_Feb_25.xlsx"/>
  </r>
  <r>
    <x v="4"/>
    <x v="22"/>
    <s v="Groundnut oil, 75cl"/>
    <x v="1"/>
    <m/>
    <n v="3039.8294761126099"/>
    <n v="3218.8178332615498"/>
    <n v="5.8881051899607098"/>
    <m/>
    <s v="Ekiti (4209.71)"/>
    <x v="21"/>
    <n v="4209.71"/>
    <s v="Ebonyi (2394.41)"/>
    <x v="26"/>
    <n v="2394.41"/>
    <s v="selected_food_table_Mar_25.xlsx"/>
  </r>
  <r>
    <x v="5"/>
    <x v="22"/>
    <s v="Groundnut oil, 75cl"/>
    <x v="1"/>
    <m/>
    <n v="3218.8178332615498"/>
    <n v="3250.3191343826402"/>
    <n v="0.97866057518288296"/>
    <m/>
    <s v="Ekiti (4200)"/>
    <x v="21"/>
    <n v="4200"/>
    <s v="Abia (2335.05)"/>
    <x v="11"/>
    <n v="2335.0500000000002"/>
    <s v="selected_food_table_Apr25.xlsx"/>
  </r>
  <r>
    <x v="2"/>
    <x v="23"/>
    <s v="Groundnuts, roasted,75cl bottle"/>
    <x v="3"/>
    <m/>
    <m/>
    <n v="2387.7568033521402"/>
    <m/>
    <m/>
    <s v="Bayelsa (3125)"/>
    <x v="12"/>
    <n v="3125"/>
    <s v="Kano (1806.47)"/>
    <x v="17"/>
    <n v="1806.47"/>
    <s v="Selected_food_table_Jan25.xlsx"/>
  </r>
  <r>
    <x v="3"/>
    <x v="23"/>
    <s v="Groundnuts, roasted,75cl bottle"/>
    <x v="3"/>
    <m/>
    <n v="2387.7568033521402"/>
    <n v="2392.4710545135099"/>
    <n v="0.19743430967339801"/>
    <m/>
    <s v="Bayelsa (3148.21)"/>
    <x v="12"/>
    <n v="3148.21"/>
    <s v="Osun (1900)"/>
    <x v="13"/>
    <n v="1900"/>
    <s v="selected_food_table_Feb_25.xlsx"/>
  </r>
  <r>
    <x v="4"/>
    <x v="23"/>
    <s v="Groundnuts, roasted,75cl bottle"/>
    <x v="3"/>
    <m/>
    <n v="2392.4710545135099"/>
    <n v="2487.6765241773001"/>
    <n v="3.9793781197132798"/>
    <m/>
    <s v="Zamfara (3235.2)"/>
    <x v="23"/>
    <n v="3235.2"/>
    <s v="Kwara (2000)"/>
    <x v="27"/>
    <n v="2000"/>
    <s v="selected_food_table_Mar_25.xlsx"/>
  </r>
  <r>
    <x v="5"/>
    <x v="23"/>
    <s v="Groundnuts, roasted,75cl bottle"/>
    <x v="3"/>
    <m/>
    <n v="2487.6765241773001"/>
    <n v="2545.7164478089499"/>
    <n v="2.3330976944780799"/>
    <m/>
    <s v="Bayelsa (3223.21)"/>
    <x v="12"/>
    <n v="3223.21"/>
    <s v="Yobe (2100)"/>
    <x v="7"/>
    <n v="2100"/>
    <s v="selected_food_table_Apr25.xlsx"/>
  </r>
  <r>
    <x v="0"/>
    <x v="24"/>
    <s v="Iced Sardine"/>
    <x v="2"/>
    <n v="2222.9852723586"/>
    <n v="3706.8926611253701"/>
    <n v="3875.65894324077"/>
    <n v="4.5527695982480996"/>
    <n v="74.344787229682396"/>
    <s v="Gombe (5308.98)"/>
    <x v="0"/>
    <n v="5308.98"/>
    <s v="Niger (2562.63)"/>
    <x v="4"/>
    <n v="2562.63"/>
    <s v="selected_food_Nov_2024.xlsx"/>
  </r>
  <r>
    <x v="1"/>
    <x v="24"/>
    <s v="Iced Sardine"/>
    <x v="2"/>
    <n v="2303.96398816992"/>
    <n v="3875.65894324077"/>
    <n v="4014.2349042126002"/>
    <n v="3.5755458104359699"/>
    <n v="74.231668759770201"/>
    <s v="Gombe (5850.39)"/>
    <x v="0"/>
    <n v="5850.39"/>
    <s v="Niger (2565.63)"/>
    <x v="4"/>
    <n v="2565.63"/>
    <s v="selected_food_Dec_2024.xlsx"/>
  </r>
  <r>
    <x v="0"/>
    <x v="25"/>
    <s v="Irish potato"/>
    <x v="0"/>
    <n v="872.63197516621904"/>
    <n v="1733.4783015384401"/>
    <n v="1778.9604773569499"/>
    <n v="2.6237522429984601"/>
    <n v="103.86148204322799"/>
    <s v="Kogi (2839.31)"/>
    <x v="16"/>
    <n v="2839.31"/>
    <s v="Bauchi (1075.42)"/>
    <x v="28"/>
    <n v="1075.42"/>
    <s v="selected_food_Nov_2024.xlsx"/>
  </r>
  <r>
    <x v="1"/>
    <x v="25"/>
    <s v="Irish potato"/>
    <x v="0"/>
    <n v="1006.36271682854"/>
    <n v="1778.9604773569499"/>
    <n v="1818.2876324441499"/>
    <n v="2.21068177667639"/>
    <n v="80.679152957326593"/>
    <s v="Kogi (2840.23)"/>
    <x v="16"/>
    <n v="2840.23"/>
    <s v="Yobe (1038.46)"/>
    <x v="7"/>
    <n v="1038.46"/>
    <s v="selected_food_Dec_2024.xlsx"/>
  </r>
  <r>
    <x v="2"/>
    <x v="25"/>
    <s v="Irish Potatoe"/>
    <x v="0"/>
    <n v="1051.76843687203"/>
    <n v="1818.2876324441499"/>
    <n v="1790.91087652799"/>
    <n v="-1.5056339507387799"/>
    <n v="70.276157160046395"/>
    <s v="Oyo (2687.5)"/>
    <x v="20"/>
    <n v="2687.5"/>
    <s v="Abuja (972.45)"/>
    <x v="9"/>
    <n v="972.45"/>
    <s v="Selected_food_table_Jan25.xlsx"/>
  </r>
  <r>
    <x v="3"/>
    <x v="25"/>
    <s v="Irish Potatoe"/>
    <x v="0"/>
    <n v="1130.6297085106501"/>
    <n v="1790.91087652799"/>
    <n v="1756.40726696976"/>
    <n v="-1.9265955671185"/>
    <n v="55.347701705399899"/>
    <s v="Anambra (2782.21)"/>
    <x v="24"/>
    <n v="2782.21"/>
    <s v="Abuja (931.78)"/>
    <x v="9"/>
    <n v="931.78"/>
    <s v="selected_food_table_Feb_25.xlsx"/>
  </r>
  <r>
    <x v="4"/>
    <x v="25"/>
    <s v="Irish Potatoe"/>
    <x v="0"/>
    <n v="1254.45056339859"/>
    <n v="1756.40726696976"/>
    <n v="1881.7562755561701"/>
    <n v="7.1366710297588503"/>
    <n v="50.0064116084463"/>
    <s v="Anambra (3021.19)"/>
    <x v="24"/>
    <n v="3021.19"/>
    <s v="Abuja (1098.24)"/>
    <x v="9"/>
    <n v="1098.24"/>
    <s v="selected_food_table_Mar_25.xlsx"/>
  </r>
  <r>
    <x v="5"/>
    <x v="25"/>
    <s v="Irish Potatoe"/>
    <x v="0"/>
    <n v="1413.5653635420099"/>
    <n v="1881.7562755561701"/>
    <n v="1948.6077123661701"/>
    <n v="3.5526086814959998"/>
    <n v="37.850555950486097"/>
    <s v="Anambra (3044.25)"/>
    <x v="24"/>
    <n v="3044.25"/>
    <s v="Abuja (1200)"/>
    <x v="9"/>
    <n v="1200"/>
    <s v="selected_food_table_Apr25.xlsx"/>
  </r>
  <r>
    <x v="0"/>
    <x v="26"/>
    <s v="Broken Rice (Ofada)"/>
    <x v="1"/>
    <n v="940.15973585512199"/>
    <n v="2428.6473439224601"/>
    <n v="2485.13886536679"/>
    <n v="2.3260487606688698"/>
    <n v="164.33155671216099"/>
    <s v="Osun (3400)"/>
    <x v="22"/>
    <n v="3400"/>
    <s v="Adamawa (1500)"/>
    <x v="2"/>
    <n v="1500"/>
    <s v="selected_food_Nov_2024.xlsx"/>
  </r>
  <r>
    <x v="1"/>
    <x v="26"/>
    <s v="Broken Rice (Ofada)"/>
    <x v="1"/>
    <n v="1002.10066976052"/>
    <n v="2485.13886536679"/>
    <n v="2512.32651705328"/>
    <n v="1.094009355589"/>
    <n v="150.706001189847"/>
    <s v="Osun (3500)"/>
    <x v="22"/>
    <n v="3500"/>
    <s v="Adamawa (1600)"/>
    <x v="2"/>
    <n v="1600"/>
    <s v="selected_food_Dec_2024.xlsx"/>
  </r>
  <r>
    <x v="2"/>
    <x v="26"/>
    <s v="Local Rice (Broken)"/>
    <x v="1"/>
    <m/>
    <m/>
    <n v="2508.1549602219002"/>
    <m/>
    <m/>
    <s v="Ogun (4500)"/>
    <x v="10"/>
    <n v="4500"/>
    <s v="Yobe (1416.67)"/>
    <x v="7"/>
    <n v="1416.67"/>
    <s v="Selected_food_table_Jan25.xlsx"/>
  </r>
  <r>
    <x v="3"/>
    <x v="26"/>
    <s v="Local Rice (Broken)"/>
    <x v="1"/>
    <m/>
    <n v="2508.1549602219002"/>
    <n v="2564.95182040297"/>
    <n v="2.2644876844467698"/>
    <m/>
    <s v="Ogun (4500)"/>
    <x v="10"/>
    <n v="4500"/>
    <s v="Yobe (1416.67)"/>
    <x v="7"/>
    <n v="1416.67"/>
    <s v="selected_food_table_Feb_25.xlsx"/>
  </r>
  <r>
    <x v="4"/>
    <x v="26"/>
    <s v="Local Rice (Broken)"/>
    <x v="1"/>
    <m/>
    <n v="2564.95182040297"/>
    <n v="2671.7289628642802"/>
    <n v="4.1629297522062396"/>
    <m/>
    <s v="Ogun (4500)"/>
    <x v="10"/>
    <n v="4500"/>
    <s v="Jigawa (1523)"/>
    <x v="6"/>
    <n v="1523"/>
    <s v="selected_food_table_Mar_25.xlsx"/>
  </r>
  <r>
    <x v="5"/>
    <x v="26"/>
    <s v="Local Rice (Broken)"/>
    <x v="1"/>
    <m/>
    <n v="2671.7289628642802"/>
    <n v="2517.8856093511199"/>
    <n v="-5.7581946242118898"/>
    <m/>
    <s v="Abuja (3800)"/>
    <x v="5"/>
    <n v="3800"/>
    <s v="Yobe (1610.02)"/>
    <x v="7"/>
    <n v="1610.02"/>
    <s v="selected_food_table_Apr25.xlsx"/>
  </r>
  <r>
    <x v="0"/>
    <x v="27"/>
    <s v="Mackerel : frozen"/>
    <x v="0"/>
    <n v="2205.0440797179699"/>
    <n v="4136.1425292325002"/>
    <n v="4203.7597581405698"/>
    <n v="1.63478962415296"/>
    <n v="90.642889945231104"/>
    <s v="Imo (5583)"/>
    <x v="8"/>
    <n v="5583"/>
    <s v="Abuja (2713.69)"/>
    <x v="9"/>
    <n v="2713.69"/>
    <s v="selected_food_Nov_2024.xlsx"/>
  </r>
  <r>
    <x v="1"/>
    <x v="27"/>
    <s v="Mackerel : frozen"/>
    <x v="0"/>
    <n v="2266.1885965523602"/>
    <n v="4203.7597581405698"/>
    <n v="4287.6540179701396"/>
    <n v="1.9956958688495601"/>
    <n v="89.201111703285605"/>
    <s v="Imo (5748.4)"/>
    <x v="8"/>
    <n v="5748.4"/>
    <s v="Abuja (2716.99)"/>
    <x v="9"/>
    <n v="2716.99"/>
    <s v="selected_food_Dec_2024.xlsx"/>
  </r>
  <r>
    <x v="2"/>
    <x v="27"/>
    <s v="Mackerel, Frozen"/>
    <x v="0"/>
    <n v="2457.9634949297101"/>
    <n v="4287.6540179701396"/>
    <n v="5117.8059351929396"/>
    <n v="19.3614483291684"/>
    <n v="108.21326052034399"/>
    <s v="Plateau (8696.05)"/>
    <x v="13"/>
    <n v="8696.0499999999993"/>
    <s v="Zamfara (3196.67)"/>
    <x v="15"/>
    <n v="3196.67"/>
    <s v="Selected_food_table_Jan25.xlsx"/>
  </r>
  <r>
    <x v="3"/>
    <x v="27"/>
    <s v="Mackerel, Frozen"/>
    <x v="0"/>
    <n v="2711.7727629978699"/>
    <n v="5117.8059351929396"/>
    <n v="5233.1514442468497"/>
    <n v="2.2538077940924302"/>
    <n v="92.978980969688394"/>
    <s v="Plateau (8517.33)"/>
    <x v="13"/>
    <n v="8517.33"/>
    <s v="Oyo (3568.18)"/>
    <x v="24"/>
    <n v="3568.18"/>
    <s v="selected_food_table_Feb_25.xlsx"/>
  </r>
  <r>
    <x v="4"/>
    <x v="27"/>
    <s v="Mackerel, Frozen"/>
    <x v="0"/>
    <n v="2972.1141005129698"/>
    <n v="5233.1514442468497"/>
    <n v="5482.6327859487901"/>
    <n v="4.7673250881399403"/>
    <n v="84.469121996444301"/>
    <s v="Plateau (9965.28)"/>
    <x v="13"/>
    <n v="9965.2800000000007"/>
    <s v="Zamfara (3415)"/>
    <x v="15"/>
    <n v="3415"/>
    <s v="selected_food_table_Mar_25.xlsx"/>
  </r>
  <r>
    <x v="5"/>
    <x v="27"/>
    <s v="Mackerel, Frozen"/>
    <x v="0"/>
    <n v="3224.9851671523202"/>
    <n v="5482.6327859487901"/>
    <n v="5417.3963473999602"/>
    <n v="-1.18987430119376"/>
    <n v="67.982054695263798"/>
    <s v="Plateau (9000)"/>
    <x v="13"/>
    <n v="9000"/>
    <s v="Oyo (3500)"/>
    <x v="24"/>
    <n v="3500"/>
    <s v="selected_food_table_Apr25.xlsx"/>
  </r>
  <r>
    <x v="0"/>
    <x v="28"/>
    <s v="Maize grain white sold loose"/>
    <x v="0"/>
    <n v="557.32955786346099"/>
    <n v="1080.4421040131899"/>
    <n v="1156.9086378729901"/>
    <n v="7.07733746914991"/>
    <n v="107.58070724044001"/>
    <s v="Taraba (1600)"/>
    <x v="25"/>
    <n v="1600"/>
    <s v="Borno (830.36)"/>
    <x v="0"/>
    <n v="830.36"/>
    <s v="selected_food_Nov_2024.xlsx"/>
  </r>
  <r>
    <x v="1"/>
    <x v="28"/>
    <s v="Maize grain white sold loose"/>
    <x v="0"/>
    <n v="577.77147320392305"/>
    <n v="1156.9086378729901"/>
    <n v="1151.13471287571"/>
    <n v="-0.4990821926865"/>
    <n v="99.2370281786866"/>
    <s v="Adamawa (1800)"/>
    <x v="26"/>
    <n v="1800"/>
    <s v="Borno (777.99)"/>
    <x v="0"/>
    <n v="777.99"/>
    <s v="selected_food_Dec_2024.xlsx"/>
  </r>
  <r>
    <x v="2"/>
    <x v="28"/>
    <s v="Maize (Corn) Grains (White) sold loose"/>
    <x v="0"/>
    <n v="633.91205304567404"/>
    <n v="1151.13471287571"/>
    <n v="1168.3379724972699"/>
    <n v="1.4944610243380601"/>
    <n v="84.306003787734596"/>
    <s v="Imo (1762.5)"/>
    <x v="8"/>
    <n v="1762.5"/>
    <s v="Kebbi (692.27)"/>
    <x v="19"/>
    <n v="692.27"/>
    <s v="Selected_food_table_Jan25.xlsx"/>
  </r>
  <r>
    <x v="3"/>
    <x v="28"/>
    <s v="Maize (Corn) Grains (White) sold loose"/>
    <x v="0"/>
    <n v="729.45168631838499"/>
    <n v="1168.3379724972699"/>
    <n v="1169.3210112602201"/>
    <n v="8.4139930918228301E-2"/>
    <n v="60.301365147552801"/>
    <s v="Imo (1979.17)"/>
    <x v="8"/>
    <n v="1979.17"/>
    <s v="Yobe (687.5)"/>
    <x v="7"/>
    <n v="687.5"/>
    <s v="selected_food_table_Feb_25.xlsx"/>
  </r>
  <r>
    <x v="4"/>
    <x v="28"/>
    <s v="Maize (Corn) Grains (White) sold loose"/>
    <x v="0"/>
    <n v="757.85748328601801"/>
    <n v="1169.3210112602201"/>
    <n v="1278.7595198008501"/>
    <n v="9.3591500953778208"/>
    <n v="68.733508344634402"/>
    <s v="Imo (2064.13)"/>
    <x v="8"/>
    <n v="2064.13"/>
    <s v="Kano (718.23)"/>
    <x v="17"/>
    <n v="718.23"/>
    <s v="selected_food_table_Mar_25.xlsx"/>
  </r>
  <r>
    <x v="5"/>
    <x v="28"/>
    <s v="Maize (Corn) Grains (White) sold loose"/>
    <x v="0"/>
    <n v="797.60928651013103"/>
    <n v="1278.7595198008501"/>
    <n v="1239.609660498"/>
    <n v="-3.0615497829451801"/>
    <n v="55.415650427266002"/>
    <s v="Imo (2000)"/>
    <x v="8"/>
    <n v="2000"/>
    <s v="Yobe (858.67)"/>
    <x v="7"/>
    <n v="858.67"/>
    <s v="selected_food_table_Apr25.xlsx"/>
  </r>
  <r>
    <x v="0"/>
    <x v="29"/>
    <s v="Maize grain yellow sold loose"/>
    <x v="2"/>
    <n v="559.18168834245296"/>
    <n v="1080.9149733669799"/>
    <n v="1163.2443098946301"/>
    <n v="7.6166339218340102"/>
    <n v="108.02618078262999"/>
    <s v="Taraba (1700)"/>
    <x v="25"/>
    <n v="1700"/>
    <s v="Jigawa (828.82)"/>
    <x v="6"/>
    <n v="828.82"/>
    <s v="selected_food_Nov_2024.xlsx"/>
  </r>
  <r>
    <x v="1"/>
    <x v="29"/>
    <s v="Maize grain yellow sold loose"/>
    <x v="2"/>
    <n v="589.75422114465005"/>
    <n v="1163.2443098946301"/>
    <n v="1160.21514057117"/>
    <n v="-0.26040697536166602"/>
    <n v="96.728586074265905"/>
    <s v="Taraba (1700)"/>
    <x v="25"/>
    <n v="1700"/>
    <s v="Yobe (800.27)"/>
    <x v="7"/>
    <n v="800.27"/>
    <s v="selected_food_Dec_2024.xlsx"/>
  </r>
  <r>
    <x v="0"/>
    <x v="30"/>
    <s v="Mudfish (aro) fresh"/>
    <x v="2"/>
    <n v="2131.0117283917998"/>
    <n v="4054.3239847898499"/>
    <n v="4136.4786973755999"/>
    <n v="2.0263479902927801"/>
    <n v="94.108678158109498"/>
    <s v="Akwa Ibom (5696.18)"/>
    <x v="7"/>
    <n v="5696.18"/>
    <s v="Benue (2628.08)"/>
    <x v="12"/>
    <n v="2628.08"/>
    <s v="selected_food_Nov_2024.xlsx"/>
  </r>
  <r>
    <x v="1"/>
    <x v="30"/>
    <s v="Mudfish (aro) fresh"/>
    <x v="2"/>
    <n v="2214.5780727526799"/>
    <n v="4136.4786973755999"/>
    <n v="4166.67611915425"/>
    <n v="0.73002725235381405"/>
    <n v="88.147628228574803"/>
    <s v="Oyo (5868.57)"/>
    <x v="20"/>
    <n v="5868.57"/>
    <s v="Benue (2685.9)"/>
    <x v="12"/>
    <n v="2685.9"/>
    <s v="selected_food_Dec_2024.xlsx"/>
  </r>
  <r>
    <x v="0"/>
    <x v="31"/>
    <s v="Mudfish : dried"/>
    <x v="2"/>
    <n v="2982.6881365000399"/>
    <n v="5139.9121409230502"/>
    <n v="5345.9909023037198"/>
    <n v="4.0093829569556698"/>
    <n v="79.233988189487107"/>
    <s v="Abia (10329.43)"/>
    <x v="3"/>
    <n v="10329.43"/>
    <s v="Plateau (3145.69)"/>
    <x v="29"/>
    <n v="3145.69"/>
    <s v="selected_food_Nov_2024.xlsx"/>
  </r>
  <r>
    <x v="1"/>
    <x v="31"/>
    <s v="Mudfish : dried"/>
    <x v="2"/>
    <n v="3137.5041050310001"/>
    <n v="5345.9909023037198"/>
    <n v="5632.3370938083499"/>
    <n v="5.3562790647705603"/>
    <n v="79.516485246246603"/>
    <s v="Abia (11717.68)"/>
    <x v="3"/>
    <n v="11717.68"/>
    <s v="Niger (3199.89)"/>
    <x v="4"/>
    <n v="3199.89"/>
    <s v="selected_food_Dec_2024.xlsx"/>
  </r>
  <r>
    <x v="0"/>
    <x v="32"/>
    <s v="Onion bulb"/>
    <x v="0"/>
    <n v="683.77839588224299"/>
    <n v="1251.5236601972099"/>
    <n v="1878.0015100273999"/>
    <n v="50.057211841402399"/>
    <n v="174.65060629830501"/>
    <s v="Ebonyi (3025)"/>
    <x v="4"/>
    <n v="3025"/>
    <s v="Yobe (855.26)"/>
    <x v="7"/>
    <n v="855.26"/>
    <s v="selected_food_Nov_2024.xlsx"/>
  </r>
  <r>
    <x v="1"/>
    <x v="32"/>
    <s v="Onion bulb"/>
    <x v="0"/>
    <n v="971.85986586491094"/>
    <n v="1878.0015100273999"/>
    <n v="2057.8108721538001"/>
    <n v="9.5745057267699796"/>
    <n v="111.739464137913"/>
    <s v="Ebonyi (3286.92)"/>
    <x v="4"/>
    <n v="3286.92"/>
    <s v="Borno (1000)"/>
    <x v="0"/>
    <n v="1000"/>
    <s v="selected_food_Dec_2024.xlsx"/>
  </r>
  <r>
    <x v="2"/>
    <x v="32"/>
    <s v="Onions, fresh "/>
    <x v="0"/>
    <n v="881.197653226022"/>
    <n v="2057.8108721538001"/>
    <n v="1367.6215629373401"/>
    <n v="-33.539977777164601"/>
    <n v="55.200318331596101"/>
    <s v="Cross River (2500)"/>
    <x v="27"/>
    <n v="2500"/>
    <s v="Taraba (520)"/>
    <x v="1"/>
    <n v="520"/>
    <s v="Selected_food_table_Jan25.xlsx"/>
  </r>
  <r>
    <x v="3"/>
    <x v="32"/>
    <s v="Onions, fresh "/>
    <x v="0"/>
    <n v="915.60983823951597"/>
    <n v="1367.6215629373401"/>
    <n v="1372.0419025966901"/>
    <n v="0.32321365640453398"/>
    <n v="49.850061160851297"/>
    <s v="Cross River (2483.33)"/>
    <x v="27"/>
    <n v="2483.33"/>
    <s v="Taraba (560)"/>
    <x v="1"/>
    <n v="560"/>
    <s v="selected_food_table_Feb_25.xlsx"/>
  </r>
  <r>
    <x v="4"/>
    <x v="32"/>
    <s v="Onions, fresh "/>
    <x v="0"/>
    <n v="938.86671936884602"/>
    <n v="1372.0419025966901"/>
    <n v="1434.8498267248599"/>
    <n v="4.5776972269802298"/>
    <n v="52.827850548312298"/>
    <s v="Abia (2841.43)"/>
    <x v="3"/>
    <n v="2841.43"/>
    <s v="Taraba (600)"/>
    <x v="1"/>
    <n v="600"/>
    <s v="selected_food_table_Mar_25.xlsx"/>
  </r>
  <r>
    <x v="5"/>
    <x v="32"/>
    <s v="Onions, fresh "/>
    <x v="0"/>
    <n v="1018.83318551401"/>
    <n v="1434.8498267248599"/>
    <n v="1503.5644918098701"/>
    <n v="4.7889795716014998"/>
    <n v="47.577102236939602"/>
    <s v="Abia (2840.42)"/>
    <x v="3"/>
    <n v="2840.42"/>
    <s v="Niger (850)"/>
    <x v="4"/>
    <n v="850"/>
    <s v="selected_food_table_Apr25.xlsx"/>
  </r>
  <r>
    <x v="0"/>
    <x v="33"/>
    <s v="Palm oil: 1 bottle,specify bottle"/>
    <x v="0"/>
    <n v="1370.15959989975"/>
    <n v="2146.9874710394402"/>
    <n v="2466.7871367873599"/>
    <n v="14.8952739623161"/>
    <n v="80.036481660082202"/>
    <s v="Taraba (3500)"/>
    <x v="25"/>
    <n v="3500"/>
    <s v="Abuja (1442.83)"/>
    <x v="9"/>
    <n v="1442.83"/>
    <s v="selected_food_Nov_2024.xlsx"/>
  </r>
  <r>
    <x v="1"/>
    <x v="33"/>
    <s v="Palm oil: 1 bottle,specify bottle"/>
    <x v="0"/>
    <n v="1425.3236823232501"/>
    <n v="2466.7871367873599"/>
    <n v="2582.3479986950401"/>
    <n v="4.68467101130509"/>
    <n v="81.176250049101995"/>
    <s v="Adamawa (3350)"/>
    <x v="26"/>
    <n v="3350"/>
    <s v="Niger (1172.81)"/>
    <x v="4"/>
    <n v="1172.81"/>
    <s v="selected_food_Dec_2024.xlsx"/>
  </r>
  <r>
    <x v="2"/>
    <x v="33"/>
    <s v="Palm oil, 75cl"/>
    <x v="0"/>
    <n v="1456.72275395834"/>
    <n v="2582.3479986950401"/>
    <n v="2329.5428046950301"/>
    <n v="-9.7897415115142703"/>
    <n v="59.916689594158299"/>
    <s v="Ogun (3000)"/>
    <x v="10"/>
    <n v="3000"/>
    <s v="Taraba (1363.33)"/>
    <x v="1"/>
    <n v="1363.33"/>
    <s v="Selected_food_table_Jan25.xlsx"/>
  </r>
  <r>
    <x v="3"/>
    <x v="33"/>
    <s v="Palm oil, 75cl"/>
    <x v="0"/>
    <n v="1561.45940476185"/>
    <n v="2329.5428046950301"/>
    <n v="2384.1511140866301"/>
    <n v="2.3441642403621898"/>
    <n v="52.687358173762"/>
    <s v="Ogun (3000)"/>
    <x v="10"/>
    <n v="3000"/>
    <s v="Adamawa (1500)"/>
    <x v="2"/>
    <n v="1500"/>
    <s v="selected_food_table_Feb_25.xlsx"/>
  </r>
  <r>
    <x v="4"/>
    <x v="33"/>
    <s v="Palm oil, 75cl"/>
    <x v="0"/>
    <n v="1565.9009523673201"/>
    <n v="2384.1511140866301"/>
    <n v="2511.7729143043798"/>
    <n v="5.35292412732176"/>
    <n v="60.404328926877703"/>
    <s v="Ekiti (3128.96)"/>
    <x v="21"/>
    <n v="3128.96"/>
    <s v="Taraba (1730)"/>
    <x v="1"/>
    <n v="1730"/>
    <s v="selected_food_table_Mar_25.xlsx"/>
  </r>
  <r>
    <x v="5"/>
    <x v="33"/>
    <s v="Palm oil, 75cl"/>
    <x v="0"/>
    <n v="1634.0540287219001"/>
    <n v="2511.7729143043798"/>
    <n v="2516.3571664481101"/>
    <n v="0.18251061302656399"/>
    <n v="53.994734703865099"/>
    <s v="Enugu (3216.49)"/>
    <x v="2"/>
    <n v="3216.49"/>
    <s v="Taraba (1795.83)"/>
    <x v="1"/>
    <n v="1795.83"/>
    <s v="selected_food_table_Apr25.xlsx"/>
  </r>
  <r>
    <x v="0"/>
    <x v="34"/>
    <s v="Plantain(ripe)"/>
    <x v="0"/>
    <n v="693.65407366574198"/>
    <n v="1507.2059152730801"/>
    <n v="1540.046406979"/>
    <n v="2.1788988069340798"/>
    <n v="122.0193703816"/>
    <s v="Edo (2257.75)"/>
    <x v="28"/>
    <n v="2257.75"/>
    <s v="Borno (913.89)"/>
    <x v="0"/>
    <n v="913.89"/>
    <s v="selected_food_Nov_2024.xlsx"/>
  </r>
  <r>
    <x v="1"/>
    <x v="34"/>
    <s v="Plantain(ripe)"/>
    <x v="0"/>
    <n v="757.99098278706902"/>
    <n v="1540.046406979"/>
    <n v="1533.6809681028701"/>
    <n v="-0.41332773137807299"/>
    <n v="102.33498853293101"/>
    <s v="Akwa Ibom (2166.26)"/>
    <x v="7"/>
    <n v="2166.2600000000002"/>
    <s v="Borno (916.67)"/>
    <x v="0"/>
    <n v="916.67"/>
    <s v="selected_food_Dec_2024.xlsx"/>
  </r>
  <r>
    <x v="2"/>
    <x v="34"/>
    <s v="Plantain (ripe)"/>
    <x v="0"/>
    <n v="810.666978789479"/>
    <n v="1533.6809681028701"/>
    <n v="1876.0258662337501"/>
    <n v="22.321780425713399"/>
    <n v="131.41757531990501"/>
    <s v="Akwa Ibom (2202.78)"/>
    <x v="7"/>
    <n v="2202.7800000000002"/>
    <s v="Lagos (1584.06)"/>
    <x v="30"/>
    <n v="1584.06"/>
    <s v="Selected_food_table_Jan25.xlsx"/>
  </r>
  <r>
    <x v="3"/>
    <x v="34"/>
    <s v="Plantain (ripe)"/>
    <x v="0"/>
    <n v="846.50059620485001"/>
    <n v="1876.0258662337501"/>
    <n v="1914.4990136459401"/>
    <n v="2.0507791552699701"/>
    <n v="126.16629240774201"/>
    <s v="Abuja (2400)"/>
    <x v="5"/>
    <n v="2400"/>
    <s v="Gombe (1476.25)"/>
    <x v="20"/>
    <n v="1476.25"/>
    <s v="selected_food_table_Feb_25.xlsx"/>
  </r>
  <r>
    <x v="4"/>
    <x v="34"/>
    <s v="Plantain (ripe)"/>
    <x v="0"/>
    <n v="947.34904446451196"/>
    <n v="1914.4990136459401"/>
    <n v="2002.5841717773301"/>
    <n v="4.60095082335084"/>
    <n v="111.38820833553299"/>
    <s v="Plateau (2696.63)"/>
    <x v="13"/>
    <n v="2696.63"/>
    <s v="Gombe (1538.75)"/>
    <x v="20"/>
    <n v="1538.75"/>
    <s v="selected_food_table_Mar_25.xlsx"/>
  </r>
  <r>
    <x v="5"/>
    <x v="34"/>
    <s v="Plantain (ripe)"/>
    <x v="0"/>
    <n v="1009.05227176578"/>
    <n v="2002.5841717773301"/>
    <n v="2057.3966196227698"/>
    <n v="2.7370858422791202"/>
    <n v="103.89395843908601"/>
    <s v="Plateau (2696.63)"/>
    <x v="13"/>
    <n v="2696.63"/>
    <s v="Kano (1650.58)"/>
    <x v="17"/>
    <n v="1650.58"/>
    <s v="selected_food_table_Apr25.xlsx"/>
  </r>
  <r>
    <x v="0"/>
    <x v="35"/>
    <s v="Plantain(unripe)"/>
    <x v="0"/>
    <n v="694.69086679389602"/>
    <n v="1539.65639977825"/>
    <n v="1566.20426620695"/>
    <n v="1.7242721449098899"/>
    <n v="125.453412599941"/>
    <s v="Ondo (2300)"/>
    <x v="15"/>
    <n v="2300"/>
    <s v="Benue (899.47)"/>
    <x v="12"/>
    <n v="899.47"/>
    <s v="selected_food_Nov_2024.xlsx"/>
  </r>
  <r>
    <x v="1"/>
    <x v="35"/>
    <s v="Plantain(unripe)"/>
    <x v="0"/>
    <n v="746.03538560342895"/>
    <n v="1566.20426620695"/>
    <n v="1550.1513842884699"/>
    <n v="-1.0249545518958101"/>
    <n v="107.78523568753199"/>
    <s v="Ondo (2310)"/>
    <x v="15"/>
    <n v="2310"/>
    <s v="Yobe (901)"/>
    <x v="7"/>
    <n v="901"/>
    <s v="selected_food_Dec_2024.xlsx"/>
  </r>
  <r>
    <x v="2"/>
    <x v="35"/>
    <s v="Plantain (unripe)"/>
    <x v="0"/>
    <n v="811.94516660819102"/>
    <n v="1550.1513842884699"/>
    <n v="2119.0689292685602"/>
    <n v="36.700773275844803"/>
    <n v="160.98670408012001"/>
    <s v="Plateau (2821.97)"/>
    <x v="13"/>
    <n v="2821.97"/>
    <s v="Oyo (1564.71)"/>
    <x v="24"/>
    <n v="1564.71"/>
    <s v="Selected_food_table_Jan25.xlsx"/>
  </r>
  <r>
    <x v="3"/>
    <x v="35"/>
    <s v="Plantain (unripe)"/>
    <x v="0"/>
    <n v="858.99191316903102"/>
    <n v="2119.0689292685602"/>
    <n v="2127.6712684252502"/>
    <n v="0.40594900136923401"/>
    <n v="147.69398125946799"/>
    <s v="Plateau (2886.64)"/>
    <x v="13"/>
    <n v="2886.64"/>
    <s v="Osun (1479.78)"/>
    <x v="13"/>
    <n v="1479.78"/>
    <s v="selected_food_table_Feb_25.xlsx"/>
  </r>
  <r>
    <x v="4"/>
    <x v="35"/>
    <s v="Plantain (unripe)"/>
    <x v="0"/>
    <n v="933.15698908316801"/>
    <n v="2127.6712684252502"/>
    <n v="2214.5652797776602"/>
    <n v="4.0839960872681198"/>
    <n v="137.31969065071101"/>
    <s v="Plateau (2904.77)"/>
    <x v="13"/>
    <n v="2904.77"/>
    <s v="Oyo (1690.91)"/>
    <x v="24"/>
    <n v="1690.91"/>
    <s v="selected_food_table_Mar_25.xlsx"/>
  </r>
  <r>
    <x v="5"/>
    <x v="35"/>
    <s v="Plantain (unripe)"/>
    <x v="0"/>
    <n v="1000.40770252811"/>
    <n v="2214.5652797776602"/>
    <n v="2231.8082619367001"/>
    <n v="0.77861701872131595"/>
    <n v="123.08987188890499"/>
    <s v="Plateau (2904.77)"/>
    <x v="13"/>
    <n v="2904.77"/>
    <s v="Kano (1566.67)"/>
    <x v="17"/>
    <n v="1566.67"/>
    <s v="selected_food_table_Apr25.xlsx"/>
  </r>
  <r>
    <x v="0"/>
    <x v="36"/>
    <s v="Rice local sold loose"/>
    <x v="0"/>
    <n v="867.18392575172902"/>
    <n v="1944.6436738238399"/>
    <n v="1959.9827752788501"/>
    <n v="0.78878725503734903"/>
    <n v="126.01696330796401"/>
    <s v="Kogi (2758.06)"/>
    <x v="16"/>
    <n v="2758.06"/>
    <s v="Benue (1268.66)"/>
    <x v="12"/>
    <n v="1268.6600000000001"/>
    <s v="selected_food_Nov_2024.xlsx"/>
  </r>
  <r>
    <x v="1"/>
    <x v="36"/>
    <s v="Rice local sold loose"/>
    <x v="0"/>
    <n v="917.934922489825"/>
    <n v="1959.9827752788501"/>
    <n v="1944.40389945518"/>
    <n v="-0.79484758846685699"/>
    <n v="111.823719940967"/>
    <s v="Kogi (2738.22)"/>
    <x v="16"/>
    <n v="2738.22"/>
    <s v="Benue (1296.57)"/>
    <x v="12"/>
    <n v="1296.57"/>
    <s v="selected_food_Dec_2024.xlsx"/>
  </r>
  <r>
    <x v="2"/>
    <x v="36"/>
    <s v="Rice Local, short-Grained"/>
    <x v="0"/>
    <n v="1021.78569428834"/>
    <n v="1944.40389945518"/>
    <n v="2067.99782298932"/>
    <n v="6.3563914662364498"/>
    <n v="102.39056335875399"/>
    <s v="Plateau (2559.74)"/>
    <x v="13"/>
    <n v="2559.7399999999998"/>
    <s v="Oyo (1578.69)"/>
    <x v="24"/>
    <n v="1578.69"/>
    <s v="Selected_food_table_Jan25.xlsx"/>
  </r>
  <r>
    <x v="3"/>
    <x v="36"/>
    <s v="Rice Local, short-Grained"/>
    <x v="0"/>
    <n v="1222.96659302136"/>
    <n v="2067.99782298932"/>
    <n v="2088.8216830603901"/>
    <n v="1.0069575431648199"/>
    <n v="70.799570076556506"/>
    <s v="Plateau (2600)"/>
    <x v="13"/>
    <n v="2600"/>
    <s v="Oyo (1516.13)"/>
    <x v="24"/>
    <n v="1516.13"/>
    <s v="selected_food_table_Feb_25.xlsx"/>
  </r>
  <r>
    <x v="4"/>
    <x v="36"/>
    <s v="Rice Local, short-Grained"/>
    <x v="0"/>
    <n v="1340.7437666679"/>
    <n v="2088.8216830603901"/>
    <n v="2242.63821870628"/>
    <n v="7.3637944728977001"/>
    <n v="67.268218914030598"/>
    <s v="Enugu (2691)"/>
    <x v="2"/>
    <n v="2691"/>
    <s v="Oyo (1773.87)"/>
    <x v="24"/>
    <n v="1773.87"/>
    <s v="selected_food_table_Mar_25.xlsx"/>
  </r>
  <r>
    <x v="5"/>
    <x v="36"/>
    <s v="Rice Local, short-Grained"/>
    <x v="0"/>
    <n v="1399.3408001160401"/>
    <n v="2242.63821870628"/>
    <n v="2144.0498599702601"/>
    <n v="-4.3960884066668298"/>
    <n v="53.218562611227803"/>
    <s v="Enugu (2600)"/>
    <x v="2"/>
    <n v="2600"/>
    <s v="Oyo (1800)"/>
    <x v="24"/>
    <n v="1800"/>
    <s v="selected_food_table_Apr25.xlsx"/>
  </r>
  <r>
    <x v="0"/>
    <x v="37"/>
    <s v="Rice,imported high quality sold loose"/>
    <x v="0"/>
    <n v="1137.4028986358601"/>
    <n v="2471.2836299822602"/>
    <n v="2489.1472970599498"/>
    <n v="0.72284973124780605"/>
    <n v="118.844817438508"/>
    <s v="Kogi (3263.85)"/>
    <x v="16"/>
    <n v="3263.85"/>
    <s v="Niger (2023.94)"/>
    <x v="4"/>
    <n v="2023.94"/>
    <s v="selected_food_Nov_2024.xlsx"/>
  </r>
  <r>
    <x v="1"/>
    <x v="37"/>
    <s v="Rice,imported high quality sold loose"/>
    <x v="0"/>
    <n v="1226.2930354790799"/>
    <n v="2489.1472970599498"/>
    <n v="2520.7757247703398"/>
    <n v="1.2706531167416799"/>
    <n v="105.560632886213"/>
    <s v="Kwara (3350.33)"/>
    <x v="29"/>
    <n v="3350.33"/>
    <s v="Borno (1757.13)"/>
    <x v="0"/>
    <n v="1757.13"/>
    <s v="selected_food_Dec_2024.xlsx"/>
  </r>
  <r>
    <x v="2"/>
    <x v="37"/>
    <s v="Rice Long-Grained (Imported)"/>
    <x v="0"/>
    <n v="1322.0056067155599"/>
    <n v="2520.7757247703398"/>
    <n v="2505.47939908644"/>
    <n v="-0.60681025819106604"/>
    <n v="89.521087229815606"/>
    <s v="Plateau (3181.82)"/>
    <x v="13"/>
    <n v="3181.82"/>
    <s v="Oyo (1935.48)"/>
    <x v="24"/>
    <n v="1935.48"/>
    <s v="Selected_food_table_Jan25.xlsx"/>
  </r>
  <r>
    <x v="3"/>
    <x v="37"/>
    <s v="Rice Long-Grained (Imported)"/>
    <x v="0"/>
    <n v="1549.4998070945601"/>
    <n v="2505.47939908644"/>
    <n v="2565.0914537854501"/>
    <n v="2.3792674057004901"/>
    <n v="65.543192844612193"/>
    <s v="Plateau (3190.91)"/>
    <x v="13"/>
    <n v="3190.91"/>
    <s v="Oyo (1938.71)"/>
    <x v="24"/>
    <n v="1938.71"/>
    <s v="selected_food_table_Feb_25.xlsx"/>
  </r>
  <r>
    <x v="4"/>
    <x v="37"/>
    <s v="Rice Long-Grained (Imported)"/>
    <x v="0"/>
    <n v="1633.9359284030299"/>
    <n v="2565.0914537854501"/>
    <n v="2679.5060014625401"/>
    <n v="4.4604471122556797"/>
    <n v="63.990885743079502"/>
    <s v="Plateau (3590.91)"/>
    <x v="13"/>
    <n v="3590.91"/>
    <s v="Oyo (2125.16)"/>
    <x v="24"/>
    <n v="2125.16"/>
    <s v="selected_food_table_Mar_25.xlsx"/>
  </r>
  <r>
    <x v="5"/>
    <x v="37"/>
    <s v="Rice Long-Grained (Imported)"/>
    <x v="0"/>
    <n v="1771.5635205881199"/>
    <n v="2679.5060014625401"/>
    <n v="2574.11484187629"/>
    <n v="-3.9332309585694398"/>
    <n v="45.3018653839598"/>
    <s v="Cross River (3200)"/>
    <x v="27"/>
    <n v="3200"/>
    <s v="Taraba (2000)"/>
    <x v="1"/>
    <n v="2000"/>
    <s v="selected_food_table_Apr25.xlsx"/>
  </r>
  <r>
    <x v="0"/>
    <x v="38"/>
    <s v="Rice Medium Grained"/>
    <x v="2"/>
    <n v="936.245343338834"/>
    <n v="2068.1971206654098"/>
    <n v="2104.43470961504"/>
    <n v="1.75213419395764"/>
    <n v="124.773850635157"/>
    <s v="Kogi (2910.41)"/>
    <x v="16"/>
    <n v="2910.41"/>
    <s v="Benue (1630.42)"/>
    <x v="12"/>
    <n v="1630.42"/>
    <s v="selected_food_Nov_2024.xlsx"/>
  </r>
  <r>
    <x v="1"/>
    <x v="38"/>
    <s v="Rice Medium Grained"/>
    <x v="2"/>
    <n v="991.08314386853704"/>
    <n v="2104.43470961504"/>
    <n v="2092.3905788274701"/>
    <n v="-0.57232142829324495"/>
    <n v="111.121598805541"/>
    <s v="Kogi (2900.11)"/>
    <x v="16"/>
    <n v="2900.11"/>
    <s v="Benue (1666.29)"/>
    <x v="12"/>
    <n v="1666.29"/>
    <s v="selected_food_Dec_2024.xlsx"/>
  </r>
  <r>
    <x v="0"/>
    <x v="39"/>
    <s v="Rice agric sold loose"/>
    <x v="2"/>
    <n v="916.69480414695704"/>
    <n v="2023.6838751770299"/>
    <n v="2042.3536770686101"/>
    <n v="0.92256513581917099"/>
    <n v="122.795380515891"/>
    <s v="Nasarawa (3121.18)"/>
    <x v="17"/>
    <n v="3121.18"/>
    <s v="Benue (1356.37)"/>
    <x v="12"/>
    <n v="1356.37"/>
    <s v="selected_food_Nov_2024.xlsx"/>
  </r>
  <r>
    <x v="1"/>
    <x v="39"/>
    <s v="Rice agric sold loose"/>
    <x v="2"/>
    <n v="972.46153562265397"/>
    <n v="2042.3536770686101"/>
    <n v="2037.30324925339"/>
    <n v="-0.247284682957915"/>
    <n v="109.499622825589"/>
    <s v="Nasarawa (3202.33)"/>
    <x v="17"/>
    <n v="3202.33"/>
    <s v="Benue (1386.21)"/>
    <x v="12"/>
    <n v="1386.21"/>
    <s v="selected_food_Dec_2024.xlsx"/>
  </r>
  <r>
    <x v="2"/>
    <x v="40"/>
    <s v="Semovita, Prepacked (1kg)"/>
    <x v="3"/>
    <m/>
    <m/>
    <n v="2072.0011794684701"/>
    <m/>
    <m/>
    <s v="Rivers (2550)"/>
    <x v="9"/>
    <n v="2550"/>
    <s v="Oyo (1700)"/>
    <x v="24"/>
    <n v="1700"/>
    <s v="Selected_food_table_Jan25.xlsx"/>
  </r>
  <r>
    <x v="3"/>
    <x v="40"/>
    <s v="Semovita, Prepacked (1kg)"/>
    <x v="3"/>
    <m/>
    <n v="2072.0011794684701"/>
    <n v="2089.7943657252299"/>
    <n v="0.85874402162845698"/>
    <m/>
    <s v="Rivers (2580)"/>
    <x v="9"/>
    <n v="2580"/>
    <s v="Lagos (1800)"/>
    <x v="30"/>
    <n v="1800"/>
    <s v="selected_food_table_Feb_25.xlsx"/>
  </r>
  <r>
    <x v="4"/>
    <x v="40"/>
    <s v="Semovita, Prepacked (1kg)"/>
    <x v="3"/>
    <m/>
    <n v="2089.7943657252299"/>
    <n v="2173.1178654254099"/>
    <n v="3.9871626159382498"/>
    <m/>
    <s v="Rivers (2775)"/>
    <x v="9"/>
    <n v="2775"/>
    <s v="Lagos (1800)"/>
    <x v="30"/>
    <n v="1800"/>
    <s v="selected_food_table_Mar_25.xlsx"/>
  </r>
  <r>
    <x v="5"/>
    <x v="40"/>
    <s v="Semovita, Prepacked (1kg)"/>
    <x v="3"/>
    <m/>
    <n v="2173.1178654254099"/>
    <n v="2257.19816002057"/>
    <n v="3.8691088013627599"/>
    <m/>
    <s v="Adamawa (2887)"/>
    <x v="26"/>
    <n v="2887"/>
    <s v="Lagos (1900)"/>
    <x v="30"/>
    <n v="1900"/>
    <s v="selected_food_table_Apr25.xlsx"/>
  </r>
  <r>
    <x v="2"/>
    <x v="41"/>
    <s v="Smoked fish (Mackerel)"/>
    <x v="3"/>
    <m/>
    <m/>
    <n v="5407.6326790166704"/>
    <m/>
    <m/>
    <s v="Kwara (8000)"/>
    <x v="29"/>
    <n v="8000"/>
    <s v="Kebbi (3360.04)"/>
    <x v="19"/>
    <n v="3360.04"/>
    <s v="Selected_food_table_Jan25.xlsx"/>
  </r>
  <r>
    <x v="3"/>
    <x v="41"/>
    <s v="Smoked fish (Mackerel)"/>
    <x v="3"/>
    <m/>
    <n v="5407.6326790166704"/>
    <n v="5458.01897597883"/>
    <n v="0.93176256511798505"/>
    <m/>
    <s v="Kwara (8230)"/>
    <x v="29"/>
    <n v="8230"/>
    <s v="Kebbi (3401.7)"/>
    <x v="19"/>
    <n v="3401.7"/>
    <s v="selected_food_table_Feb_25.xlsx"/>
  </r>
  <r>
    <x v="4"/>
    <x v="41"/>
    <s v="Smoked fish (Mackerel)"/>
    <x v="3"/>
    <m/>
    <n v="5458.01897597883"/>
    <n v="5752.7551214759096"/>
    <n v="5.4000571781490097"/>
    <m/>
    <s v="Kwara (8258)"/>
    <x v="29"/>
    <n v="8258"/>
    <s v="Kebbi (3645.99)"/>
    <x v="19"/>
    <n v="3645.99"/>
    <s v="selected_food_table_Mar_25.xlsx"/>
  </r>
  <r>
    <x v="5"/>
    <x v="41"/>
    <s v="Smoked fish (Mackerel)"/>
    <x v="3"/>
    <m/>
    <n v="5752.7551214759096"/>
    <n v="5920.8372821896501"/>
    <n v="2.9217680426942398"/>
    <m/>
    <s v="Kwara (8258)"/>
    <x v="29"/>
    <n v="8258"/>
    <s v="Kebbi (3871.39)"/>
    <x v="19"/>
    <n v="3871.39"/>
    <s v="selected_food_table_Apr25.xlsx"/>
  </r>
  <r>
    <x v="0"/>
    <x v="42"/>
    <s v="Sweet potato"/>
    <x v="0"/>
    <n v="490.80301319229602"/>
    <n v="898.53186258447499"/>
    <n v="942.23834413034206"/>
    <n v="4.8642105378602496"/>
    <n v="91.978924090503497"/>
    <s v="Cross River (1989.04)"/>
    <x v="27"/>
    <n v="1989.04"/>
    <s v="Adamawa (450)"/>
    <x v="2"/>
    <n v="450"/>
    <s v="selected_food_Nov_2024.xlsx"/>
  </r>
  <r>
    <x v="1"/>
    <x v="42"/>
    <s v="Sweet potato"/>
    <x v="0"/>
    <n v="551.92333314861503"/>
    <n v="942.23834413034206"/>
    <n v="930.78900812666495"/>
    <n v="-1.2151210014960601"/>
    <n v="68.644620044725201"/>
    <s v="Cross River (1969.15)"/>
    <x v="27"/>
    <n v="1969.15"/>
    <s v="Adamawa (450)"/>
    <x v="2"/>
    <n v="450"/>
    <s v="selected_food_Dec_2024.xlsx"/>
  </r>
  <r>
    <x v="2"/>
    <x v="42"/>
    <s v="Sweet potatoes "/>
    <x v="0"/>
    <n v="615.472583483883"/>
    <n v="930.78900812666495"/>
    <n v="852.51531154864904"/>
    <n v="-8.4093920205989807"/>
    <n v="38.513937813929097"/>
    <s v="Taraba (1700)"/>
    <x v="25"/>
    <n v="1700"/>
    <s v="Nasarawa (500)"/>
    <x v="16"/>
    <n v="500"/>
    <s v="Selected_food_table_Jan25.xlsx"/>
  </r>
  <r>
    <x v="3"/>
    <x v="42"/>
    <s v="Sweet potatoes "/>
    <x v="0"/>
    <n v="672.82862658415297"/>
    <n v="852.51531154864904"/>
    <n v="823.29869998066295"/>
    <n v="-3.4271069589251302"/>
    <n v="22.363803716322799"/>
    <s v="Taraba (1594.31)"/>
    <x v="25"/>
    <n v="1594.31"/>
    <s v="Adamawa (520)"/>
    <x v="2"/>
    <n v="520"/>
    <s v="selected_food_table_Feb_25.xlsx"/>
  </r>
  <r>
    <x v="4"/>
    <x v="42"/>
    <s v="Sweet potatoes "/>
    <x v="0"/>
    <n v="689.46756451810097"/>
    <n v="823.29869998066295"/>
    <n v="909.88487977933903"/>
    <n v="10.516982451291399"/>
    <n v="31.969207342668501"/>
    <s v="Taraba (1817.51)"/>
    <x v="25"/>
    <n v="1817.51"/>
    <s v="Adamawa (530)"/>
    <x v="2"/>
    <n v="530"/>
    <s v="selected_food_table_Mar_25.xlsx"/>
  </r>
  <r>
    <x v="5"/>
    <x v="42"/>
    <s v="Sweet potatoes "/>
    <x v="0"/>
    <n v="807.34893293995503"/>
    <n v="909.88487977933903"/>
    <n v="938.42378465177205"/>
    <n v="3.1365401829024901"/>
    <n v="16.235217062157901"/>
    <s v="Delta (1588.38)"/>
    <x v="11"/>
    <n v="1588.38"/>
    <s v="Nasarawa (560)"/>
    <x v="16"/>
    <n v="560"/>
    <s v="selected_food_table_Apr25.xlsx"/>
  </r>
  <r>
    <x v="0"/>
    <x v="43"/>
    <s v="Tilapia fish (epiya) fresh"/>
    <x v="0"/>
    <n v="1979.7690534897599"/>
    <n v="3944.3936965902999"/>
    <n v="4039.6252556423601"/>
    <n v="2.4143522776233799"/>
    <n v="104.045277327761"/>
    <s v="Ebonyi (6384.57)"/>
    <x v="4"/>
    <n v="6384.57"/>
    <s v="Taraba (2200)"/>
    <x v="1"/>
    <n v="2200"/>
    <s v="selected_food_Nov_2024.xlsx"/>
  </r>
  <r>
    <x v="1"/>
    <x v="43"/>
    <s v="Tilapia fish (epiya) fresh"/>
    <x v="0"/>
    <n v="2059.5320241415802"/>
    <n v="4039.6252556423601"/>
    <n v="4106.7161954740204"/>
    <n v="1.66082088277745"/>
    <n v="99.400453468826598"/>
    <s v="Ebonyi (6440.75)"/>
    <x v="4"/>
    <n v="6440.75"/>
    <s v="Taraba (2300)"/>
    <x v="1"/>
    <n v="2300"/>
    <s v="selected_food_Dec_2024.xlsx"/>
  </r>
  <r>
    <x v="2"/>
    <x v="43"/>
    <s v="Tilapia fresh fish (Epiya)"/>
    <x v="0"/>
    <n v="2214.4284135726998"/>
    <n v="4106.7161954740204"/>
    <n v="5065.3631911843804"/>
    <n v="23.343395308564698"/>
    <n v="128.74359632208899"/>
    <s v="Benue (8239.29)"/>
    <x v="30"/>
    <n v="8239.2900000000009"/>
    <s v="Kebbi (3692.11)"/>
    <x v="19"/>
    <n v="3692.11"/>
    <s v="Selected_food_table_Jan25.xlsx"/>
  </r>
  <r>
    <x v="3"/>
    <x v="43"/>
    <s v="Tilapia fresh fish (Epiya)"/>
    <x v="0"/>
    <n v="2445.2624845391001"/>
    <n v="5065.3631911843804"/>
    <n v="5103.9420286918903"/>
    <n v="0.76162036267523403"/>
    <n v="108.727777118533"/>
    <s v="Benue (8239.29)"/>
    <x v="30"/>
    <n v="8239.2900000000009"/>
    <s v="Yobe (3750)"/>
    <x v="7"/>
    <n v="3750"/>
    <s v="selected_food_table_Feb_25.xlsx"/>
  </r>
  <r>
    <x v="4"/>
    <x v="43"/>
    <s v="Tilapia fresh fish (Epiya)"/>
    <x v="0"/>
    <n v="2728.6329831665698"/>
    <n v="5103.9420286918903"/>
    <n v="5459.0421429298303"/>
    <n v="6.9573696613663101"/>
    <n v="100.065094008892"/>
    <s v="Benue (8323.74)"/>
    <x v="30"/>
    <n v="8323.74"/>
    <s v="Kebbi (4000)"/>
    <x v="19"/>
    <n v="4000"/>
    <s v="selected_food_table_Mar_25.xlsx"/>
  </r>
  <r>
    <x v="5"/>
    <x v="43"/>
    <s v="Tilapia fresh fish (Epiya)"/>
    <x v="0"/>
    <n v="2828.8747467656299"/>
    <n v="5459.0421429298303"/>
    <n v="5489.2820246853198"/>
    <n v="0.55394116703537799"/>
    <n v="94.044717991188705"/>
    <s v="Benue (8323.75)"/>
    <x v="30"/>
    <n v="8323.75"/>
    <s v="Yobe (4050)"/>
    <x v="7"/>
    <n v="4050"/>
    <s v="selected_food_table_Apr25.xlsx"/>
  </r>
  <r>
    <x v="0"/>
    <x v="44"/>
    <s v="Evaporated tinned milk(peak), 170g"/>
    <x v="0"/>
    <n v="526.82931145431098"/>
    <n v="955.72723653447201"/>
    <n v="991.20399188409101"/>
    <n v="3.7120167756503601"/>
    <n v="88.145186748982198"/>
    <s v="Gombe (1450)"/>
    <x v="0"/>
    <n v="1450"/>
    <s v="Niger (750)"/>
    <x v="4"/>
    <n v="750"/>
    <s v="selected_food_Nov_2024.xlsx"/>
  </r>
  <r>
    <x v="1"/>
    <x v="44"/>
    <s v="Evaporated tinned milk(peak), 170g"/>
    <x v="0"/>
    <n v="542.00222754434299"/>
    <n v="991.20399188409101"/>
    <n v="1014.7414650661"/>
    <n v="2.3746346236228901"/>
    <n v="87.220903069643498"/>
    <s v="Gombe (1455)"/>
    <x v="0"/>
    <n v="1455"/>
    <s v="Niger (810)"/>
    <x v="4"/>
    <n v="810"/>
    <s v="selected_food_Dec_2024.xlsx"/>
  </r>
  <r>
    <x v="2"/>
    <x v="44"/>
    <s v="Tin Milk-Evaporated, Peak Milk, 150g"/>
    <x v="0"/>
    <n v="575.78306237246795"/>
    <n v="1014.7414650661"/>
    <n v="928.00162815407703"/>
    <n v="-8.5479740306439105"/>
    <n v="61.172095672686297"/>
    <s v="Rivers (1150)"/>
    <x v="9"/>
    <n v="1150"/>
    <s v="Bayelsa (725)"/>
    <x v="22"/>
    <n v="725"/>
    <s v="Selected_food_table_Jan25.xlsx"/>
  </r>
  <r>
    <x v="3"/>
    <x v="44"/>
    <s v="Tin Milk-Evaporated, Peak Milk, 150g"/>
    <x v="0"/>
    <n v="635.99951919482805"/>
    <n v="928.00162815407703"/>
    <n v="931.03473383633604"/>
    <n v="0.32684271128839598"/>
    <n v="46.389219761521403"/>
    <s v="Enugu (1200)"/>
    <x v="2"/>
    <n v="1200"/>
    <s v="Bayelsa (782.14)"/>
    <x v="22"/>
    <n v="782.14"/>
    <s v="selected_food_table_Feb_25.xlsx"/>
  </r>
  <r>
    <x v="4"/>
    <x v="44"/>
    <s v="Tin Milk-Evaporated, Peak Milk, 150g"/>
    <x v="0"/>
    <n v="669.70890030858902"/>
    <n v="931.03473383633604"/>
    <n v="999.17967446513501"/>
    <n v="7.3192694270391998"/>
    <n v="49.196117000196899"/>
    <s v="Enugu (1287.5)"/>
    <x v="2"/>
    <n v="1287.5"/>
    <s v="Osun (827.5)"/>
    <x v="13"/>
    <n v="827.5"/>
    <s v="selected_food_table_Mar_25.xlsx"/>
  </r>
  <r>
    <x v="5"/>
    <x v="44"/>
    <s v="Tin Milk-Evaporated, Peak Milk, 150g"/>
    <x v="0"/>
    <n v="725.73968747105596"/>
    <n v="999.17967446513501"/>
    <n v="994.19173616473597"/>
    <n v="-0.49920333928622102"/>
    <n v="36.990129288524798"/>
    <s v="Enugu (1302.83)"/>
    <x v="2"/>
    <n v="1302.83"/>
    <s v="Oyo (860)"/>
    <x v="24"/>
    <n v="860"/>
    <s v="selected_food_table_Apr25.xlsx"/>
  </r>
  <r>
    <x v="0"/>
    <x v="45"/>
    <s v="Evaporated tinned milk carnation 170g"/>
    <x v="1"/>
    <n v="469.72950450450497"/>
    <n v="843.210790052682"/>
    <n v="873.77102001760204"/>
    <n v="3.6242693197759199"/>
    <n v="86.015783900843402"/>
    <s v="Gombe (1525)"/>
    <x v="0"/>
    <n v="1525"/>
    <s v="Kogi (640.53)"/>
    <x v="5"/>
    <n v="640.53"/>
    <s v="selected_food_Nov_2024.xlsx"/>
  </r>
  <r>
    <x v="1"/>
    <x v="45"/>
    <s v="Evaporated tinned milk carnation 170g"/>
    <x v="1"/>
    <n v="487.94263253199699"/>
    <n v="873.77102001760204"/>
    <n v="887.45091137505199"/>
    <n v="1.56561513761062"/>
    <n v="81.876075630029405"/>
    <s v="Gombe (1575)"/>
    <x v="0"/>
    <n v="1575"/>
    <s v="Kogi (640.11)"/>
    <x v="5"/>
    <n v="640.11"/>
    <s v="selected_food_Dec_2024.xlsx"/>
  </r>
  <r>
    <x v="2"/>
    <x v="45"/>
    <s v="Tin Milk-Evaporated, Three Crown Milk, 160g"/>
    <x v="1"/>
    <m/>
    <m/>
    <n v="837.23255124624598"/>
    <m/>
    <m/>
    <s v="Bayelsa (1200)"/>
    <x v="12"/>
    <n v="1200"/>
    <s v="Benue (675)"/>
    <x v="12"/>
    <n v="675"/>
    <s v="Selected_food_table_Jan25.xlsx"/>
  </r>
  <r>
    <x v="3"/>
    <x v="45"/>
    <s v="Tin Milk-Evaporated, Three Crown Milk, 160g"/>
    <x v="1"/>
    <m/>
    <n v="837.23255124624598"/>
    <n v="827.31484440540498"/>
    <n v="-1.18458208846251"/>
    <m/>
    <s v="Bayelsa (1057.14)"/>
    <x v="12"/>
    <n v="1057.1400000000001"/>
    <s v="Kogi (650)"/>
    <x v="5"/>
    <n v="650"/>
    <s v="selected_food_table_Feb_25.xlsx"/>
  </r>
  <r>
    <x v="4"/>
    <x v="45"/>
    <s v="Tin Milk-Evaporated, Three Crown Milk, 160g"/>
    <x v="1"/>
    <m/>
    <n v="827.31484440540498"/>
    <n v="872.13527080810798"/>
    <n v="5.4175779276528502"/>
    <m/>
    <s v="Delta (1073.3)"/>
    <x v="11"/>
    <n v="1073.3"/>
    <s v="Kogi (701)"/>
    <x v="5"/>
    <n v="701"/>
    <s v="selected_food_table_Mar_25.xlsx"/>
  </r>
  <r>
    <x v="5"/>
    <x v="45"/>
    <s v="Tin Milk-Evaporated, Three Crown Milk, 160g"/>
    <x v="1"/>
    <m/>
    <n v="872.13527080810798"/>
    <n v="888.91036973350299"/>
    <n v="1.9234514973636001"/>
    <m/>
    <s v="Borno (1184.25)"/>
    <x v="31"/>
    <n v="1184.25"/>
    <s v="Osun (750)"/>
    <x v="13"/>
    <n v="750"/>
    <s v="selected_food_table_Apr25.xlsx"/>
  </r>
  <r>
    <x v="0"/>
    <x v="46"/>
    <s v="Titus:frozen"/>
    <x v="0"/>
    <n v="2418.1677542453199"/>
    <n v="4509.3840576084403"/>
    <n v="4626.8186758829997"/>
    <n v="2.6042274681930802"/>
    <n v="91.335719689429993"/>
    <s v="Ebonyi (5661.92)"/>
    <x v="4"/>
    <n v="5661.92"/>
    <s v="Taraba (3250)"/>
    <x v="1"/>
    <n v="3250"/>
    <s v="selected_food_Nov_2024.xlsx"/>
  </r>
  <r>
    <x v="1"/>
    <x v="46"/>
    <s v="Titus:frozen"/>
    <x v="0"/>
    <n v="2512.1637998229799"/>
    <n v="4626.8186758829997"/>
    <n v="4725.1654426294299"/>
    <n v="2.12558074209938"/>
    <n v="88.091454982449093"/>
    <s v="Ebonyi (5862.69)"/>
    <x v="4"/>
    <n v="5862.69"/>
    <s v="Taraba (3350)"/>
    <x v="1"/>
    <n v="3350"/>
    <s v="selected_food_Dec_2024.xlsx"/>
  </r>
  <r>
    <x v="2"/>
    <x v="46"/>
    <s v="Titus, frozen"/>
    <x v="0"/>
    <n v="2628.5079693409898"/>
    <n v="4725.1654426294299"/>
    <n v="5467.23134462281"/>
    <n v="15.7045485709055"/>
    <n v="107.997518302885"/>
    <s v="Kwara (8343.26)"/>
    <x v="29"/>
    <n v="8343.26"/>
    <s v="Taraba (4000)"/>
    <x v="1"/>
    <n v="4000"/>
    <s v="Selected_food_table_Jan25.xlsx"/>
  </r>
  <r>
    <x v="3"/>
    <x v="46"/>
    <s v="Titus, frozen"/>
    <x v="0"/>
    <n v="2883.0737845792401"/>
    <n v="5467.23134462281"/>
    <n v="5564.28907556592"/>
    <n v="1.7752629224034699"/>
    <n v="92.998497136207703"/>
    <s v="Kwara (8343.26)"/>
    <x v="29"/>
    <n v="8343.26"/>
    <s v="Yobe (4200)"/>
    <x v="7"/>
    <n v="4200"/>
    <s v="selected_food_table_Feb_25.xlsx"/>
  </r>
  <r>
    <x v="4"/>
    <x v="46"/>
    <s v="Titus, frozen"/>
    <x v="0"/>
    <n v="3124.0443485127098"/>
    <n v="5564.28907556592"/>
    <n v="5860.0071237336497"/>
    <n v="5.3145701841103898"/>
    <n v="87.577590776631396"/>
    <s v="Kwara (8927.29)"/>
    <x v="29"/>
    <n v="8927.2900000000009"/>
    <s v="Oyo (4485.35)"/>
    <x v="24"/>
    <n v="4485.3500000000004"/>
    <s v="selected_food_table_Mar_25.xlsx"/>
  </r>
  <r>
    <x v="5"/>
    <x v="46"/>
    <s v="Titus, frozen"/>
    <x v="0"/>
    <n v="3395.0493196911202"/>
    <n v="5860.0071237336497"/>
    <n v="5939.2872886936802"/>
    <n v="1.3529021942469599"/>
    <n v="74.939646804130206"/>
    <s v="Kwara (8927.29)"/>
    <x v="29"/>
    <n v="8927.2900000000009"/>
    <s v="Oyo (4490)"/>
    <x v="24"/>
    <n v="4490"/>
    <s v="selected_food_table_Apr25.xlsx"/>
  </r>
  <r>
    <x v="0"/>
    <x v="47"/>
    <s v="Tomato"/>
    <x v="0"/>
    <n v="758.64755468786996"/>
    <n v="1465.9858796281101"/>
    <n v="1472.17604013204"/>
    <n v="0.42225239614847099"/>
    <n v="94.052696938795606"/>
    <s v="Enugu (2352.28)"/>
    <x v="2"/>
    <n v="2352.2800000000002"/>
    <s v="Borno (660.84)"/>
    <x v="0"/>
    <n v="660.84"/>
    <s v="selected_food_Nov_2024.xlsx"/>
  </r>
  <r>
    <x v="1"/>
    <x v="47"/>
    <s v="Tomato"/>
    <x v="0"/>
    <n v="814.15970058142102"/>
    <n v="1472.17604013204"/>
    <n v="1453.4956678575099"/>
    <n v="-1.2688952791846899"/>
    <n v="78.527095706102799"/>
    <s v="Ebonyi (2421.37)"/>
    <x v="4"/>
    <n v="2421.37"/>
    <s v="Jigawa (694.31)"/>
    <x v="6"/>
    <n v="694.31"/>
    <s v="selected_food_Dec_2024.xlsx"/>
  </r>
  <r>
    <x v="2"/>
    <x v="47"/>
    <s v="Tomatoes, fresh "/>
    <x v="0"/>
    <n v="845.25823994735697"/>
    <n v="1453.4956678575099"/>
    <n v="1081.43913597703"/>
    <n v="-25.5973609077835"/>
    <n v="27.9418626009939"/>
    <s v="Ebonyi (1778.11)"/>
    <x v="4"/>
    <n v="1778.11"/>
    <s v="Kebbi (512.96)"/>
    <x v="19"/>
    <n v="512.96"/>
    <s v="Selected_food_table_Jan25.xlsx"/>
  </r>
  <r>
    <x v="3"/>
    <x v="47"/>
    <s v="Tomatoes, fresh "/>
    <x v="0"/>
    <n v="937.84840734474005"/>
    <n v="1081.43913597703"/>
    <n v="1111.1395879256399"/>
    <n v="2.7463822013231902"/>
    <n v="18.477525709248599"/>
    <s v="Ebonyi (1787.31)"/>
    <x v="4"/>
    <n v="1787.31"/>
    <s v="Kebbi (624.32)"/>
    <x v="19"/>
    <n v="624.32000000000005"/>
    <s v="selected_food_table_Feb_25.xlsx"/>
  </r>
  <r>
    <x v="4"/>
    <x v="47"/>
    <s v="Tomatoes, fresh "/>
    <x v="0"/>
    <n v="959.68352354376702"/>
    <n v="1111.1395879256399"/>
    <n v="1157.34571869108"/>
    <n v="4.1584451915439198"/>
    <n v="20.596601931584299"/>
    <s v="Ebonyi (1882.36)"/>
    <x v="4"/>
    <n v="1882.36"/>
    <s v="Yobe (650)"/>
    <x v="7"/>
    <n v="650"/>
    <s v="selected_food_table_Mar_25.xlsx"/>
  </r>
  <r>
    <x v="5"/>
    <x v="47"/>
    <s v="Tomatoes, fresh "/>
    <x v="0"/>
    <n v="1123.41349822947"/>
    <n v="1157.34571869108"/>
    <n v="1283.5712136417701"/>
    <n v="10.906464067922901"/>
    <n v="14.256346008367499"/>
    <s v="Imo (1929.19)"/>
    <x v="8"/>
    <n v="1929.19"/>
    <s v="Kaduna (848.78)"/>
    <x v="3"/>
    <n v="848.78"/>
    <s v="selected_food_table_Apr25.xlsx"/>
  </r>
  <r>
    <x v="0"/>
    <x v="48"/>
    <s v="Vegetable oil:1 bottle,specify bottle"/>
    <x v="0"/>
    <n v="1610.1836994748801"/>
    <n v="2719.1648740973101"/>
    <n v="3147.0488937671198"/>
    <n v="15.735861541380499"/>
    <n v="95.446575120183894"/>
    <s v="Ekiti (4000)"/>
    <x v="21"/>
    <n v="4000"/>
    <s v="Bauchi (2200)"/>
    <x v="28"/>
    <n v="2200"/>
    <s v="selected_food_Nov_2024.xlsx"/>
  </r>
  <r>
    <x v="1"/>
    <x v="48"/>
    <s v="Vegetable oil:1 bottle,specify bottle"/>
    <x v="0"/>
    <n v="1709.5508213953501"/>
    <n v="3147.0488937671198"/>
    <n v="3362.8340562642102"/>
    <n v="6.8567464243870697"/>
    <n v="96.708633295817606"/>
    <s v="Ekiti (4100)"/>
    <x v="21"/>
    <n v="4100"/>
    <s v="Abuja (2301.44)"/>
    <x v="9"/>
    <n v="2301.44"/>
    <s v="selected_food_Dec_2024.xlsx"/>
  </r>
  <r>
    <x v="2"/>
    <x v="48"/>
    <s v="Vegetable Oil, 75cl"/>
    <x v="0"/>
    <n v="1782.77151199184"/>
    <n v="3362.8340562642102"/>
    <n v="2975.9619234909901"/>
    <n v="-11.5043480082689"/>
    <n v="66.928958841508404"/>
    <s v="Ekiti (4616.67)"/>
    <x v="21"/>
    <n v="4616.67"/>
    <s v="Adamawa (1800)"/>
    <x v="2"/>
    <n v="1800"/>
    <s v="Selected_food_table_Jan25.xlsx"/>
  </r>
  <r>
    <x v="3"/>
    <x v="48"/>
    <s v="Vegetable Oil, 75cl"/>
    <x v="0"/>
    <n v="1878.8122969993999"/>
    <n v="2975.9619234909901"/>
    <n v="3090.5103853288301"/>
    <n v="3.8491239062449201"/>
    <n v="64.492769728226904"/>
    <s v="Ekiti (4648.67)"/>
    <x v="21"/>
    <n v="4648.67"/>
    <s v="Adamawa (2200)"/>
    <x v="2"/>
    <n v="2200"/>
    <s v="selected_food_table_Feb_25.xlsx"/>
  </r>
  <r>
    <x v="4"/>
    <x v="48"/>
    <s v="Vegetable Oil, 75cl"/>
    <x v="0"/>
    <n v="2003.6460001141299"/>
    <n v="3090.5103853288301"/>
    <n v="3337.0082982445902"/>
    <n v="7.9759613197202803"/>
    <n v="66.546800086168901"/>
    <s v="Ekiti (4850)"/>
    <x v="21"/>
    <n v="4850"/>
    <s v="Jigawa (2517.5)"/>
    <x v="6"/>
    <n v="2517.5"/>
    <s v="selected_food_table_Mar_25.xlsx"/>
  </r>
  <r>
    <x v="5"/>
    <x v="48"/>
    <s v="Vegetable Oil, 75cl"/>
    <x v="0"/>
    <n v="2078.20848341791"/>
    <n v="3337.0082982445902"/>
    <n v="3374.8094323292298"/>
    <n v="1.1327851388479"/>
    <n v="62.390321243366301"/>
    <s v="Ekiti (4800)"/>
    <x v="21"/>
    <n v="4800"/>
    <s v="Adamawa (2600)"/>
    <x v="2"/>
    <n v="2600"/>
    <s v="selected_food_table_Apr25.xlsx"/>
  </r>
  <r>
    <x v="2"/>
    <x v="49"/>
    <s v="Watermelon whole, medium size fresh"/>
    <x v="3"/>
    <m/>
    <m/>
    <n v="1850.8432699560799"/>
    <m/>
    <m/>
    <s v="Akwa Ibom (2500)"/>
    <x v="7"/>
    <n v="2500"/>
    <s v="Zamfara (1200)"/>
    <x v="15"/>
    <n v="1200"/>
    <s v="Selected_food_table_Jan25.xlsx"/>
  </r>
  <r>
    <x v="3"/>
    <x v="49"/>
    <s v="Watermelon whole, medium size fresh"/>
    <x v="3"/>
    <m/>
    <n v="1850.8432699560799"/>
    <n v="1926.20411932915"/>
    <n v="4.0717034551962703"/>
    <m/>
    <s v="Anambra (2795)"/>
    <x v="24"/>
    <n v="2795"/>
    <s v="Zamfara (1100)"/>
    <x v="15"/>
    <n v="1100"/>
    <s v="selected_food_table_Feb_25.xlsx"/>
  </r>
  <r>
    <x v="4"/>
    <x v="49"/>
    <s v="Watermelon whole, medium size fresh"/>
    <x v="3"/>
    <m/>
    <n v="1926.20411932915"/>
    <n v="2040.81873295581"/>
    <n v="5.9502839017174303"/>
    <m/>
    <s v="Anambra (3057.65)"/>
    <x v="24"/>
    <n v="3057.65"/>
    <s v="Zamfara (1300)"/>
    <x v="15"/>
    <n v="1300"/>
    <s v="selected_food_table_Mar_25.xlsx"/>
  </r>
  <r>
    <x v="5"/>
    <x v="49"/>
    <s v="Watermelon whole, medium size fresh"/>
    <x v="3"/>
    <m/>
    <n v="2040.81873295581"/>
    <n v="2057.3488049013399"/>
    <n v="0.80997257025290403"/>
    <m/>
    <s v="Anambra (3057.15)"/>
    <x v="24"/>
    <n v="3057.15"/>
    <s v="Katsina (1384.6)"/>
    <x v="18"/>
    <n v="1384.6"/>
    <s v="selected_food_table_Apr25.xlsx"/>
  </r>
  <r>
    <x v="0"/>
    <x v="50"/>
    <s v="Wheat flour: prepacked (golden penny 2kg)"/>
    <x v="0"/>
    <n v="1884.62162805663"/>
    <n v="3747.8654995332199"/>
    <n v="3819.3696006646201"/>
    <n v="1.90786198545033"/>
    <n v="102.659756409728"/>
    <s v="Niger (5462.63)"/>
    <x v="6"/>
    <n v="5462.63"/>
    <s v="Plateau (2667.9)"/>
    <x v="29"/>
    <n v="2667.9"/>
    <s v="selected_food_Nov_2024.xlsx"/>
  </r>
  <r>
    <x v="1"/>
    <x v="50"/>
    <s v="Wheat flour: prepacked (golden penny 2kg)"/>
    <x v="0"/>
    <n v="1976.59186959985"/>
    <n v="3819.3696006646201"/>
    <n v="3871.4754362969402"/>
    <n v="1.3642522478907"/>
    <n v="95.866202620811904"/>
    <s v="Niger (5463.63)"/>
    <x v="6"/>
    <n v="5463.63"/>
    <s v="Plateau (2739.94)"/>
    <x v="29"/>
    <n v="2739.94"/>
    <s v="selected_food_Dec_2024.xlsx"/>
  </r>
  <r>
    <x v="2"/>
    <x v="50"/>
    <s v="Wheat Flour, Prepacked (2kg)"/>
    <x v="0"/>
    <n v="2042.9839571345101"/>
    <n v="3871.4754362969402"/>
    <n v="3847.3656922479099"/>
    <n v="-0.62275337776870299"/>
    <n v="88.320895952811696"/>
    <s v="Borno (5500)"/>
    <x v="31"/>
    <n v="5500"/>
    <s v="Bauchi (2700)"/>
    <x v="28"/>
    <n v="2700"/>
    <s v="Selected_food_table_Jan25.xlsx"/>
  </r>
  <r>
    <x v="3"/>
    <x v="50"/>
    <s v="Wheat Flour, Prepacked (2kg)"/>
    <x v="0"/>
    <n v="2277.5858108989501"/>
    <n v="3847.3656922479099"/>
    <n v="3890.8029976448402"/>
    <n v="1.1290142105402099"/>
    <n v="70.830138606683704"/>
    <s v="Imo (5616.67)"/>
    <x v="8"/>
    <n v="5616.67"/>
    <s v="Bauchi (2800)"/>
    <x v="28"/>
    <n v="2800"/>
    <s v="selected_food_table_Feb_25.xlsx"/>
  </r>
  <r>
    <x v="4"/>
    <x v="50"/>
    <s v="Wheat Flour, Prepacked (2kg)"/>
    <x v="0"/>
    <n v="2477.6305328736098"/>
    <n v="3890.8029976448402"/>
    <n v="4114.2425360704501"/>
    <n v="5.7427615471884801"/>
    <n v="66.055530939015895"/>
    <s v="Imo (6008.67)"/>
    <x v="8"/>
    <n v="6008.67"/>
    <s v="Bauchi (2925)"/>
    <x v="28"/>
    <n v="2925"/>
    <s v="selected_food_table_Mar_25.xlsx"/>
  </r>
  <r>
    <x v="5"/>
    <x v="50"/>
    <s v="Wheat Flour, Prepacked (2kg)"/>
    <x v="0"/>
    <n v="2573.24932210314"/>
    <n v="4114.2425360704501"/>
    <n v="4166.5681996130497"/>
    <n v="1.2718176695675201"/>
    <n v="61.918558136748203"/>
    <s v="Imo (6247.72)"/>
    <x v="8"/>
    <n v="6247.72"/>
    <s v="Ondo (3300)"/>
    <x v="21"/>
    <n v="3300"/>
    <s v="selected_food_table_Apr25.xlsx"/>
  </r>
  <r>
    <x v="0"/>
    <x v="51"/>
    <s v="Yam tuber"/>
    <x v="0"/>
    <n v="772.724446855922"/>
    <n v="1705.58350433379"/>
    <n v="1836.0085445683401"/>
    <n v="7.6469454531632204"/>
    <n v="137.60197468046101"/>
    <s v="Kwara (4041.66)"/>
    <x v="29"/>
    <n v="4041.66"/>
    <s v="Borno (885.74)"/>
    <x v="0"/>
    <n v="885.74"/>
    <s v="selected_food_Nov_2024.xlsx"/>
  </r>
  <r>
    <x v="1"/>
    <x v="51"/>
    <s v="Yam tuber"/>
    <x v="0"/>
    <n v="818.91853200374499"/>
    <n v="1836.0085445683401"/>
    <n v="1905.90097860793"/>
    <n v="3.80675973684103"/>
    <n v="132.73389282625399"/>
    <s v="Kwara (4200.11)"/>
    <x v="29"/>
    <n v="4200.1099999999997"/>
    <s v="Borno (895.09)"/>
    <x v="0"/>
    <n v="895.09"/>
    <s v="selected_food_Dec_2024.xlsx"/>
  </r>
  <r>
    <x v="2"/>
    <x v="51"/>
    <s v="Yam Tuber"/>
    <x v="0"/>
    <n v="901.94204572569595"/>
    <n v="1905.90097860793"/>
    <n v="1991.3299394697301"/>
    <n v="4.4823399442399801"/>
    <n v="120.78247143557"/>
    <s v="Ogun (2566.67)"/>
    <x v="10"/>
    <n v="2566.67"/>
    <s v="Ondo (1450)"/>
    <x v="21"/>
    <n v="1450"/>
    <s v="Selected_food_table_Jan25.xlsx"/>
  </r>
  <r>
    <x v="3"/>
    <x v="51"/>
    <s v="Yam Tuber"/>
    <x v="0"/>
    <n v="1009.55598963637"/>
    <n v="1991.3299394697301"/>
    <n v="2022.0329125304399"/>
    <n v="1.5418325437762499"/>
    <n v="100.289328505569"/>
    <s v="Imo (2535.03)"/>
    <x v="8"/>
    <n v="2535.0300000000002"/>
    <s v="Ondo (1417.87)"/>
    <x v="21"/>
    <n v="1417.87"/>
    <s v="selected_food_table_Feb_25.xlsx"/>
  </r>
  <r>
    <x v="4"/>
    <x v="51"/>
    <s v="Yam Tuber"/>
    <x v="0"/>
    <n v="1068.77645806394"/>
    <n v="2022.0329125304399"/>
    <n v="2141.1300356787601"/>
    <n v="5.8899695652963304"/>
    <n v="100.33469295883999"/>
    <s v="Imo (2765.99)"/>
    <x v="8"/>
    <n v="2765.99"/>
    <s v="Ondo (1523.42)"/>
    <x v="21"/>
    <n v="1523.42"/>
    <s v="selected_food_table_Mar_25.xlsx"/>
  </r>
  <r>
    <x v="5"/>
    <x v="51"/>
    <s v="Yam Tuber"/>
    <x v="0"/>
    <n v="1130.3692191499499"/>
    <n v="2141.1300356787601"/>
    <n v="2240.0837774352499"/>
    <n v="4.6215661873674296"/>
    <n v="98.172750945910096"/>
    <s v="Imo (2985.28)"/>
    <x v="8"/>
    <n v="2985.28"/>
    <s v="Benue (1810)"/>
    <x v="12"/>
    <n v="1810"/>
    <s v="selected_food_table_Apr25.xlsx"/>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F955FC-D4CD-4A31-A4A9-2131270B35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L3:Z58" firstHeaderRow="1" firstDataRow="3" firstDataCol="1"/>
  <pivotFields count="16">
    <pivotField axis="axisCol" showAll="0">
      <items count="7">
        <item x="5"/>
        <item x="1"/>
        <item x="3"/>
        <item x="2"/>
        <item x="4"/>
        <item x="0"/>
        <item t="default"/>
      </items>
    </pivotField>
    <pivotField axis="axisRow" showAll="0">
      <items count="53">
        <item x="0"/>
        <item x="1"/>
        <item x="2"/>
        <item x="3"/>
        <item x="4"/>
        <item x="5"/>
        <item x="6"/>
        <item x="7"/>
        <item x="8"/>
        <item x="9"/>
        <item x="10"/>
        <item x="11"/>
        <item x="13"/>
        <item x="14"/>
        <item x="12"/>
        <item x="15"/>
        <item x="16"/>
        <item x="17"/>
        <item x="19"/>
        <item x="18"/>
        <item x="20"/>
        <item x="21"/>
        <item x="22"/>
        <item x="23"/>
        <item x="24"/>
        <item x="25"/>
        <item x="26"/>
        <item x="27"/>
        <item x="28"/>
        <item x="29"/>
        <item x="30"/>
        <item x="31"/>
        <item x="32"/>
        <item x="33"/>
        <item x="34"/>
        <item x="35"/>
        <item x="39"/>
        <item x="36"/>
        <item x="37"/>
        <item x="38"/>
        <item x="40"/>
        <item x="41"/>
        <item x="42"/>
        <item x="43"/>
        <item x="44"/>
        <item x="45"/>
        <item x="46"/>
        <item x="47"/>
        <item x="48"/>
        <item x="49"/>
        <item x="50"/>
        <item x="51"/>
        <item t="default"/>
      </items>
    </pivotField>
    <pivotField showAll="0"/>
    <pivotField showAll="0">
      <items count="5">
        <item x="0"/>
        <item x="2"/>
        <item x="1"/>
        <item x="3"/>
        <item t="default"/>
      </items>
    </pivotField>
    <pivotField showAll="0"/>
    <pivotField showAll="0"/>
    <pivotField numFmtId="4" showAll="0"/>
    <pivotField dataField="1" showAll="0"/>
    <pivotField dataField="1" showAll="0"/>
    <pivotField showAll="0"/>
    <pivotField showAll="0"/>
    <pivotField numFmtId="4" showAll="0"/>
    <pivotField showAll="0"/>
    <pivotField showAll="0"/>
    <pivotField numFmtId="4" showAll="0"/>
    <pivotField showAll="0"/>
  </pivotFields>
  <rowFields count="1">
    <field x="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Fields count="2">
    <field x="0"/>
    <field x="-2"/>
  </colFields>
  <colItems count="14">
    <i>
      <x/>
      <x/>
    </i>
    <i r="1" i="1">
      <x v="1"/>
    </i>
    <i>
      <x v="1"/>
      <x/>
    </i>
    <i r="1" i="1">
      <x v="1"/>
    </i>
    <i>
      <x v="2"/>
      <x/>
    </i>
    <i r="1" i="1">
      <x v="1"/>
    </i>
    <i>
      <x v="3"/>
      <x/>
    </i>
    <i r="1" i="1">
      <x v="1"/>
    </i>
    <i>
      <x v="4"/>
      <x/>
    </i>
    <i r="1" i="1">
      <x v="1"/>
    </i>
    <i>
      <x v="5"/>
      <x/>
    </i>
    <i r="1" i="1">
      <x v="1"/>
    </i>
    <i t="grand">
      <x/>
    </i>
    <i t="grand" i="1">
      <x/>
    </i>
  </colItems>
  <dataFields count="2">
    <dataField name="Sum of MoM" fld="7" baseField="0" baseItem="0"/>
    <dataField name="Sum of YoY" fld="8" baseField="0" baseItem="0"/>
  </dataFields>
  <chartFormats count="14">
    <chartFormat chart="14" format="36" series="1">
      <pivotArea type="data" outline="0" fieldPosition="0">
        <references count="2">
          <reference field="4294967294" count="1" selected="0">
            <x v="0"/>
          </reference>
          <reference field="0" count="1" selected="0">
            <x v="0"/>
          </reference>
        </references>
      </pivotArea>
    </chartFormat>
    <chartFormat chart="14" format="37" series="1">
      <pivotArea type="data" outline="0" fieldPosition="0">
        <references count="2">
          <reference field="4294967294" count="1" selected="0">
            <x v="1"/>
          </reference>
          <reference field="0" count="1" selected="0">
            <x v="0"/>
          </reference>
        </references>
      </pivotArea>
    </chartFormat>
    <chartFormat chart="14" format="38" series="1">
      <pivotArea type="data" outline="0" fieldPosition="0">
        <references count="2">
          <reference field="4294967294" count="1" selected="0">
            <x v="0"/>
          </reference>
          <reference field="0" count="1" selected="0">
            <x v="1"/>
          </reference>
        </references>
      </pivotArea>
    </chartFormat>
    <chartFormat chart="14" format="39" series="1">
      <pivotArea type="data" outline="0" fieldPosition="0">
        <references count="2">
          <reference field="4294967294" count="1" selected="0">
            <x v="1"/>
          </reference>
          <reference field="0" count="1" selected="0">
            <x v="1"/>
          </reference>
        </references>
      </pivotArea>
    </chartFormat>
    <chartFormat chart="14" format="40" series="1">
      <pivotArea type="data" outline="0" fieldPosition="0">
        <references count="2">
          <reference field="4294967294" count="1" selected="0">
            <x v="0"/>
          </reference>
          <reference field="0" count="1" selected="0">
            <x v="2"/>
          </reference>
        </references>
      </pivotArea>
    </chartFormat>
    <chartFormat chart="14" format="41" series="1">
      <pivotArea type="data" outline="0" fieldPosition="0">
        <references count="2">
          <reference field="4294967294" count="1" selected="0">
            <x v="1"/>
          </reference>
          <reference field="0" count="1" selected="0">
            <x v="2"/>
          </reference>
        </references>
      </pivotArea>
    </chartFormat>
    <chartFormat chart="14" format="42" series="1">
      <pivotArea type="data" outline="0" fieldPosition="0">
        <references count="2">
          <reference field="4294967294" count="1" selected="0">
            <x v="0"/>
          </reference>
          <reference field="0" count="1" selected="0">
            <x v="3"/>
          </reference>
        </references>
      </pivotArea>
    </chartFormat>
    <chartFormat chart="14" format="43" series="1">
      <pivotArea type="data" outline="0" fieldPosition="0">
        <references count="2">
          <reference field="4294967294" count="1" selected="0">
            <x v="1"/>
          </reference>
          <reference field="0" count="1" selected="0">
            <x v="3"/>
          </reference>
        </references>
      </pivotArea>
    </chartFormat>
    <chartFormat chart="14" format="44" series="1">
      <pivotArea type="data" outline="0" fieldPosition="0">
        <references count="2">
          <reference field="4294967294" count="1" selected="0">
            <x v="0"/>
          </reference>
          <reference field="0" count="1" selected="0">
            <x v="4"/>
          </reference>
        </references>
      </pivotArea>
    </chartFormat>
    <chartFormat chart="14" format="45" series="1">
      <pivotArea type="data" outline="0" fieldPosition="0">
        <references count="2">
          <reference field="4294967294" count="1" selected="0">
            <x v="1"/>
          </reference>
          <reference field="0" count="1" selected="0">
            <x v="4"/>
          </reference>
        </references>
      </pivotArea>
    </chartFormat>
    <chartFormat chart="14" format="46" series="1">
      <pivotArea type="data" outline="0" fieldPosition="0">
        <references count="2">
          <reference field="4294967294" count="1" selected="0">
            <x v="0"/>
          </reference>
          <reference field="0" count="1" selected="0">
            <x v="5"/>
          </reference>
        </references>
      </pivotArea>
    </chartFormat>
    <chartFormat chart="14" format="47" series="1">
      <pivotArea type="data" outline="0" fieldPosition="0">
        <references count="2">
          <reference field="4294967294" count="1" selected="0">
            <x v="1"/>
          </reference>
          <reference field="0" count="1" selected="0">
            <x v="5"/>
          </reference>
        </references>
      </pivotArea>
    </chartFormat>
    <chartFormat chart="14" format="48" series="1">
      <pivotArea type="data" grandCol="1" outline="0" fieldPosition="0">
        <references count="1">
          <reference field="4294967294" count="1" selected="0">
            <x v="0"/>
          </reference>
        </references>
      </pivotArea>
    </chartFormat>
    <chartFormat chart="14" format="49" series="1">
      <pivotArea type="data" grandCol="1"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C30957-85D1-4889-A43C-42F60B0472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H57" firstHeaderRow="1" firstDataRow="2" firstDataCol="1"/>
  <pivotFields count="16">
    <pivotField axis="axisCol" showAll="0">
      <items count="7">
        <item x="5"/>
        <item x="1"/>
        <item x="3"/>
        <item x="2"/>
        <item x="4"/>
        <item x="0"/>
        <item t="default"/>
      </items>
    </pivotField>
    <pivotField axis="axisRow" showAll="0">
      <items count="53">
        <item x="0"/>
        <item x="1"/>
        <item x="2"/>
        <item x="3"/>
        <item x="4"/>
        <item x="5"/>
        <item x="6"/>
        <item x="7"/>
        <item x="8"/>
        <item x="9"/>
        <item x="10"/>
        <item x="11"/>
        <item x="13"/>
        <item x="14"/>
        <item x="12"/>
        <item x="15"/>
        <item x="16"/>
        <item x="17"/>
        <item x="19"/>
        <item x="18"/>
        <item x="20"/>
        <item x="21"/>
        <item x="22"/>
        <item x="23"/>
        <item x="24"/>
        <item x="25"/>
        <item x="26"/>
        <item x="27"/>
        <item x="28"/>
        <item x="29"/>
        <item x="30"/>
        <item x="31"/>
        <item x="32"/>
        <item x="33"/>
        <item x="34"/>
        <item x="35"/>
        <item x="39"/>
        <item x="36"/>
        <item x="37"/>
        <item x="38"/>
        <item x="40"/>
        <item x="41"/>
        <item x="42"/>
        <item x="43"/>
        <item x="44"/>
        <item x="45"/>
        <item x="46"/>
        <item x="47"/>
        <item x="48"/>
        <item x="49"/>
        <item x="50"/>
        <item x="51"/>
        <item t="default"/>
      </items>
    </pivotField>
    <pivotField showAll="0"/>
    <pivotField showAll="0">
      <items count="5">
        <item x="0"/>
        <item x="2"/>
        <item x="1"/>
        <item x="3"/>
        <item t="default"/>
      </items>
    </pivotField>
    <pivotField showAll="0"/>
    <pivotField showAll="0"/>
    <pivotField dataField="1" numFmtId="4" showAll="0"/>
    <pivotField showAll="0"/>
    <pivotField showAll="0"/>
    <pivotField showAll="0"/>
    <pivotField showAll="0"/>
    <pivotField numFmtId="4" showAll="0"/>
    <pivotField showAll="0"/>
    <pivotField showAll="0"/>
    <pivotField numFmtId="4" showAll="0"/>
    <pivotField showAll="0"/>
  </pivotFields>
  <rowFields count="1">
    <field x="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Fields count="1">
    <field x="0"/>
  </colFields>
  <colItems count="7">
    <i>
      <x/>
    </i>
    <i>
      <x v="1"/>
    </i>
    <i>
      <x v="2"/>
    </i>
    <i>
      <x v="3"/>
    </i>
    <i>
      <x v="4"/>
    </i>
    <i>
      <x v="5"/>
    </i>
    <i t="grand">
      <x/>
    </i>
  </colItems>
  <dataFields count="1">
    <dataField name="Average Price" fld="6" baseField="1" baseItem="0" numFmtId="4"/>
  </dataFields>
  <chartFormats count="7">
    <chartFormat chart="19" format="12" series="1">
      <pivotArea type="data" outline="0" fieldPosition="0">
        <references count="2">
          <reference field="4294967294" count="1" selected="0">
            <x v="0"/>
          </reference>
          <reference field="0" count="1" selected="0">
            <x v="0"/>
          </reference>
        </references>
      </pivotArea>
    </chartFormat>
    <chartFormat chart="19" format="13" series="1">
      <pivotArea type="data" outline="0" fieldPosition="0">
        <references count="2">
          <reference field="4294967294" count="1" selected="0">
            <x v="0"/>
          </reference>
          <reference field="0" count="1" selected="0">
            <x v="1"/>
          </reference>
        </references>
      </pivotArea>
    </chartFormat>
    <chartFormat chart="19" format="14" series="1">
      <pivotArea type="data" outline="0" fieldPosition="0">
        <references count="2">
          <reference field="4294967294" count="1" selected="0">
            <x v="0"/>
          </reference>
          <reference field="0" count="1" selected="0">
            <x v="2"/>
          </reference>
        </references>
      </pivotArea>
    </chartFormat>
    <chartFormat chart="19" format="15" series="1">
      <pivotArea type="data" outline="0" fieldPosition="0">
        <references count="2">
          <reference field="4294967294" count="1" selected="0">
            <x v="0"/>
          </reference>
          <reference field="0" count="1" selected="0">
            <x v="3"/>
          </reference>
        </references>
      </pivotArea>
    </chartFormat>
    <chartFormat chart="19" format="16" series="1">
      <pivotArea type="data" outline="0" fieldPosition="0">
        <references count="2">
          <reference field="4294967294" count="1" selected="0">
            <x v="0"/>
          </reference>
          <reference field="0" count="1" selected="0">
            <x v="4"/>
          </reference>
        </references>
      </pivotArea>
    </chartFormat>
    <chartFormat chart="19" format="17" series="1">
      <pivotArea type="data" outline="0" fieldPosition="0">
        <references count="2">
          <reference field="4294967294" count="1" selected="0">
            <x v="0"/>
          </reference>
          <reference field="0" count="1" selected="0">
            <x v="5"/>
          </reference>
        </references>
      </pivotArea>
    </chartFormat>
    <chartFormat chart="19"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B044DB-442E-4C54-A995-208E7BFCCF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O28:AP40" firstHeaderRow="1" firstDataRow="1" firstDataCol="1"/>
  <pivotFields count="16">
    <pivotField showAll="0">
      <items count="7">
        <item x="5"/>
        <item x="1"/>
        <item x="3"/>
        <item x="2"/>
        <item x="4"/>
        <item x="0"/>
        <item t="default"/>
      </items>
    </pivotField>
    <pivotField showAll="0">
      <items count="53">
        <item x="0"/>
        <item x="1"/>
        <item x="2"/>
        <item x="3"/>
        <item x="4"/>
        <item x="5"/>
        <item x="6"/>
        <item x="7"/>
        <item x="8"/>
        <item x="9"/>
        <item x="10"/>
        <item x="11"/>
        <item x="13"/>
        <item x="14"/>
        <item x="12"/>
        <item x="15"/>
        <item x="16"/>
        <item x="17"/>
        <item x="19"/>
        <item x="18"/>
        <item x="20"/>
        <item x="21"/>
        <item x="22"/>
        <item x="23"/>
        <item x="24"/>
        <item x="25"/>
        <item x="26"/>
        <item x="27"/>
        <item x="28"/>
        <item x="29"/>
        <item x="30"/>
        <item x="31"/>
        <item x="32"/>
        <item x="33"/>
        <item x="34"/>
        <item x="35"/>
        <item x="39"/>
        <item x="36"/>
        <item x="37"/>
        <item x="38"/>
        <item x="40"/>
        <item x="41"/>
        <item x="42"/>
        <item x="43"/>
        <item x="44"/>
        <item x="45"/>
        <item x="46"/>
        <item x="47"/>
        <item x="48"/>
        <item x="49"/>
        <item x="50"/>
        <item x="51"/>
        <item t="default"/>
      </items>
    </pivotField>
    <pivotField showAll="0"/>
    <pivotField showAll="0">
      <items count="5">
        <item x="0"/>
        <item x="2"/>
        <item x="1"/>
        <item x="3"/>
        <item t="default"/>
      </items>
    </pivotField>
    <pivotField showAll="0"/>
    <pivotField showAll="0"/>
    <pivotField numFmtId="4" showAll="0"/>
    <pivotField showAll="0"/>
    <pivotField showAll="0"/>
    <pivotField showAll="0"/>
    <pivotField showAll="0">
      <items count="33">
        <item x="23"/>
        <item x="14"/>
        <item x="25"/>
        <item x="9"/>
        <item x="13"/>
        <item x="20"/>
        <item x="22"/>
        <item x="15"/>
        <item x="10"/>
        <item x="6"/>
        <item x="17"/>
        <item x="29"/>
        <item x="16"/>
        <item x="18"/>
        <item x="19"/>
        <item x="8"/>
        <item x="0"/>
        <item x="2"/>
        <item x="21"/>
        <item x="28"/>
        <item x="4"/>
        <item x="11"/>
        <item x="27"/>
        <item x="31"/>
        <item x="30"/>
        <item x="12"/>
        <item x="1"/>
        <item x="24"/>
        <item x="7"/>
        <item x="26"/>
        <item x="5"/>
        <item x="3"/>
        <item t="default"/>
      </items>
    </pivotField>
    <pivotField numFmtId="4" showAll="0"/>
    <pivotField showAll="0"/>
    <pivotField axis="axisRow" showAll="0" measureFilter="1" sortType="ascending">
      <items count="32">
        <item x="11"/>
        <item x="9"/>
        <item x="2"/>
        <item x="23"/>
        <item x="10"/>
        <item x="28"/>
        <item x="22"/>
        <item x="12"/>
        <item x="0"/>
        <item x="26"/>
        <item x="14"/>
        <item x="20"/>
        <item x="6"/>
        <item x="3"/>
        <item x="17"/>
        <item x="18"/>
        <item x="19"/>
        <item x="5"/>
        <item x="27"/>
        <item x="30"/>
        <item x="16"/>
        <item x="4"/>
        <item x="25"/>
        <item x="21"/>
        <item x="13"/>
        <item x="24"/>
        <item x="29"/>
        <item x="8"/>
        <item x="1"/>
        <item x="7"/>
        <item x="15"/>
        <item t="default"/>
      </items>
      <autoSortScope>
        <pivotArea dataOnly="0" outline="0" fieldPosition="0">
          <references count="1">
            <reference field="4294967294" count="1" selected="0">
              <x v="0"/>
            </reference>
          </references>
        </pivotArea>
      </autoSortScope>
    </pivotField>
    <pivotField dataField="1" numFmtId="4" showAll="0"/>
    <pivotField showAll="0"/>
  </pivotFields>
  <rowFields count="1">
    <field x="13"/>
  </rowFields>
  <rowItems count="12">
    <i>
      <x v="1"/>
    </i>
    <i>
      <x v="24"/>
    </i>
    <i>
      <x v="16"/>
    </i>
    <i>
      <x v="17"/>
    </i>
    <i>
      <x v="21"/>
    </i>
    <i>
      <x v="8"/>
    </i>
    <i>
      <x v="7"/>
    </i>
    <i>
      <x v="28"/>
    </i>
    <i>
      <x v="25"/>
    </i>
    <i>
      <x v="2"/>
    </i>
    <i>
      <x v="29"/>
    </i>
    <i t="grand">
      <x/>
    </i>
  </rowItems>
  <colItems count="1">
    <i/>
  </colItems>
  <dataFields count="1">
    <dataField name="Count of Lowest Price" fld="14" subtotal="count" baseField="13" baseItem="0"/>
  </dataFields>
  <chartFormats count="13">
    <chartFormat chart="29"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13" count="1" selected="0">
            <x v="29"/>
          </reference>
        </references>
      </pivotArea>
    </chartFormat>
    <chartFormat chart="32" format="4">
      <pivotArea type="data" outline="0" fieldPosition="0">
        <references count="2">
          <reference field="4294967294" count="1" selected="0">
            <x v="0"/>
          </reference>
          <reference field="13" count="1" selected="0">
            <x v="28"/>
          </reference>
        </references>
      </pivotArea>
    </chartFormat>
    <chartFormat chart="32" format="5">
      <pivotArea type="data" outline="0" fieldPosition="0">
        <references count="2">
          <reference field="4294967294" count="1" selected="0">
            <x v="0"/>
          </reference>
          <reference field="13" count="1" selected="0">
            <x v="25"/>
          </reference>
        </references>
      </pivotArea>
    </chartFormat>
    <chartFormat chart="32" format="6">
      <pivotArea type="data" outline="0" fieldPosition="0">
        <references count="2">
          <reference field="4294967294" count="1" selected="0">
            <x v="0"/>
          </reference>
          <reference field="13" count="1" selected="0">
            <x v="7"/>
          </reference>
        </references>
      </pivotArea>
    </chartFormat>
    <chartFormat chart="32" format="7">
      <pivotArea type="data" outline="0" fieldPosition="0">
        <references count="2">
          <reference field="4294967294" count="1" selected="0">
            <x v="0"/>
          </reference>
          <reference field="13" count="1" selected="0">
            <x v="8"/>
          </reference>
        </references>
      </pivotArea>
    </chartFormat>
    <chartFormat chart="32" format="8">
      <pivotArea type="data" outline="0" fieldPosition="0">
        <references count="2">
          <reference field="4294967294" count="1" selected="0">
            <x v="0"/>
          </reference>
          <reference field="13" count="1" selected="0">
            <x v="21"/>
          </reference>
        </references>
      </pivotArea>
    </chartFormat>
    <chartFormat chart="32" format="9">
      <pivotArea type="data" outline="0" fieldPosition="0">
        <references count="2">
          <reference field="4294967294" count="1" selected="0">
            <x v="0"/>
          </reference>
          <reference field="13" count="1" selected="0">
            <x v="17"/>
          </reference>
        </references>
      </pivotArea>
    </chartFormat>
    <chartFormat chart="32" format="10">
      <pivotArea type="data" outline="0" fieldPosition="0">
        <references count="2">
          <reference field="4294967294" count="1" selected="0">
            <x v="0"/>
          </reference>
          <reference field="13" count="1" selected="0">
            <x v="16"/>
          </reference>
        </references>
      </pivotArea>
    </chartFormat>
    <chartFormat chart="32" format="1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filters count="1">
    <filter fld="1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BA6B26-0AF5-462D-A18E-2F2E4C450F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H27:AI38" firstHeaderRow="1" firstDataRow="1" firstDataCol="1"/>
  <pivotFields count="16">
    <pivotField showAll="0">
      <items count="7">
        <item x="5"/>
        <item x="1"/>
        <item x="3"/>
        <item x="2"/>
        <item x="4"/>
        <item x="0"/>
        <item t="default"/>
      </items>
    </pivotField>
    <pivotField showAll="0">
      <items count="53">
        <item x="0"/>
        <item x="1"/>
        <item x="2"/>
        <item x="3"/>
        <item x="4"/>
        <item x="5"/>
        <item x="6"/>
        <item x="7"/>
        <item x="8"/>
        <item x="9"/>
        <item x="10"/>
        <item x="11"/>
        <item x="13"/>
        <item x="14"/>
        <item x="12"/>
        <item x="15"/>
        <item x="16"/>
        <item x="17"/>
        <item x="19"/>
        <item x="18"/>
        <item x="20"/>
        <item x="21"/>
        <item x="22"/>
        <item x="23"/>
        <item x="24"/>
        <item x="25"/>
        <item x="26"/>
        <item x="27"/>
        <item x="28"/>
        <item x="29"/>
        <item x="30"/>
        <item x="31"/>
        <item x="32"/>
        <item x="33"/>
        <item x="34"/>
        <item x="35"/>
        <item x="39"/>
        <item x="36"/>
        <item x="37"/>
        <item x="38"/>
        <item x="40"/>
        <item x="41"/>
        <item x="42"/>
        <item x="43"/>
        <item x="44"/>
        <item x="45"/>
        <item x="46"/>
        <item x="47"/>
        <item x="48"/>
        <item x="49"/>
        <item x="50"/>
        <item x="51"/>
        <item t="default"/>
      </items>
    </pivotField>
    <pivotField showAll="0"/>
    <pivotField showAll="0">
      <items count="5">
        <item x="0"/>
        <item x="2"/>
        <item x="1"/>
        <item x="3"/>
        <item t="default"/>
      </items>
    </pivotField>
    <pivotField showAll="0"/>
    <pivotField showAll="0"/>
    <pivotField numFmtId="4" showAll="0"/>
    <pivotField showAll="0"/>
    <pivotField showAll="0"/>
    <pivotField showAll="0"/>
    <pivotField axis="axisRow" showAll="0" measureFilter="1" sortType="descending">
      <items count="33">
        <item x="23"/>
        <item x="14"/>
        <item x="25"/>
        <item x="9"/>
        <item x="13"/>
        <item x="20"/>
        <item x="22"/>
        <item x="15"/>
        <item x="10"/>
        <item x="6"/>
        <item x="17"/>
        <item x="29"/>
        <item x="16"/>
        <item x="18"/>
        <item x="19"/>
        <item x="8"/>
        <item x="0"/>
        <item x="2"/>
        <item x="21"/>
        <item x="28"/>
        <item x="4"/>
        <item x="11"/>
        <item x="27"/>
        <item x="31"/>
        <item x="30"/>
        <item x="12"/>
        <item x="1"/>
        <item x="24"/>
        <item x="7"/>
        <item x="26"/>
        <item x="5"/>
        <item x="3"/>
        <item t="default"/>
      </items>
      <autoSortScope>
        <pivotArea dataOnly="0" outline="0" fieldPosition="0">
          <references count="1">
            <reference field="4294967294" count="1" selected="0">
              <x v="0"/>
            </reference>
          </references>
        </pivotArea>
      </autoSortScope>
    </pivotField>
    <pivotField dataField="1" numFmtId="4" showAll="0"/>
    <pivotField showAll="0"/>
    <pivotField showAll="0"/>
    <pivotField numFmtId="4" showAll="0"/>
    <pivotField showAll="0"/>
  </pivotFields>
  <rowFields count="1">
    <field x="10"/>
  </rowFields>
  <rowItems count="11">
    <i>
      <x v="17"/>
    </i>
    <i>
      <x v="15"/>
    </i>
    <i>
      <x v="4"/>
    </i>
    <i>
      <x v="20"/>
    </i>
    <i>
      <x v="16"/>
    </i>
    <i>
      <x v="8"/>
    </i>
    <i>
      <x v="28"/>
    </i>
    <i>
      <x v="11"/>
    </i>
    <i>
      <x v="12"/>
    </i>
    <i>
      <x v="18"/>
    </i>
    <i t="grand">
      <x/>
    </i>
  </rowItems>
  <colItems count="1">
    <i/>
  </colItems>
  <dataFields count="1">
    <dataField name="Count of Highest Price" fld="11" subtotal="count" baseField="10" baseItem="0"/>
  </dataFields>
  <chartFormats count="11">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10" count="1" selected="0">
            <x v="18"/>
          </reference>
        </references>
      </pivotArea>
    </chartFormat>
    <chartFormat chart="31" format="4">
      <pivotArea type="data" outline="0" fieldPosition="0">
        <references count="2">
          <reference field="4294967294" count="1" selected="0">
            <x v="0"/>
          </reference>
          <reference field="10" count="1" selected="0">
            <x v="12"/>
          </reference>
        </references>
      </pivotArea>
    </chartFormat>
    <chartFormat chart="31" format="5">
      <pivotArea type="data" outline="0" fieldPosition="0">
        <references count="2">
          <reference field="4294967294" count="1" selected="0">
            <x v="0"/>
          </reference>
          <reference field="10" count="1" selected="0">
            <x v="11"/>
          </reference>
        </references>
      </pivotArea>
    </chartFormat>
    <chartFormat chart="31" format="6">
      <pivotArea type="data" outline="0" fieldPosition="0">
        <references count="2">
          <reference field="4294967294" count="1" selected="0">
            <x v="0"/>
          </reference>
          <reference field="10" count="1" selected="0">
            <x v="28"/>
          </reference>
        </references>
      </pivotArea>
    </chartFormat>
    <chartFormat chart="31" format="7">
      <pivotArea type="data" outline="0" fieldPosition="0">
        <references count="2">
          <reference field="4294967294" count="1" selected="0">
            <x v="0"/>
          </reference>
          <reference field="10" count="1" selected="0">
            <x v="8"/>
          </reference>
        </references>
      </pivotArea>
    </chartFormat>
    <chartFormat chart="31" format="8">
      <pivotArea type="data" outline="0" fieldPosition="0">
        <references count="2">
          <reference field="4294967294" count="1" selected="0">
            <x v="0"/>
          </reference>
          <reference field="10" count="1" selected="0">
            <x v="16"/>
          </reference>
        </references>
      </pivotArea>
    </chartFormat>
    <chartFormat chart="31" format="9">
      <pivotArea type="data" outline="0" fieldPosition="0">
        <references count="2">
          <reference field="4294967294" count="1" selected="0">
            <x v="0"/>
          </reference>
          <reference field="10" count="1" selected="0">
            <x v="20"/>
          </reference>
        </references>
      </pivotArea>
    </chartFormat>
    <chartFormat chart="31" format="10">
      <pivotArea type="data" outline="0" fieldPosition="0">
        <references count="2">
          <reference field="4294967294" count="1" selected="0">
            <x v="0"/>
          </reference>
          <reference field="10" count="1" selected="0">
            <x v="4"/>
          </reference>
        </references>
      </pivotArea>
    </chartFormat>
    <chartFormat chart="31" format="11">
      <pivotArea type="data" outline="0" fieldPosition="0">
        <references count="2">
          <reference field="4294967294" count="1" selected="0">
            <x v="0"/>
          </reference>
          <reference field="10" count="1" selected="0">
            <x v="15"/>
          </reference>
        </references>
      </pivotArea>
    </chartFormat>
    <chartFormat chart="31" format="12">
      <pivotArea type="data" outline="0" fieldPosition="0">
        <references count="2">
          <reference field="4294967294" count="1" selected="0">
            <x v="0"/>
          </reference>
          <reference field="10" count="1" selected="0">
            <x v="17"/>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CB2A0D-A23D-4B0E-B244-5F32AE954B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D26:AE79" firstHeaderRow="1" firstDataRow="1" firstDataCol="1"/>
  <pivotFields count="16">
    <pivotField showAll="0">
      <items count="7">
        <item x="5"/>
        <item x="1"/>
        <item x="3"/>
        <item x="2"/>
        <item x="4"/>
        <item x="0"/>
        <item t="default"/>
      </items>
    </pivotField>
    <pivotField axis="axisRow" showAll="0" sortType="descending">
      <items count="53">
        <item x="0"/>
        <item x="1"/>
        <item x="2"/>
        <item x="3"/>
        <item x="4"/>
        <item x="5"/>
        <item x="6"/>
        <item x="7"/>
        <item x="8"/>
        <item x="9"/>
        <item x="10"/>
        <item x="11"/>
        <item x="13"/>
        <item x="14"/>
        <item x="12"/>
        <item x="15"/>
        <item x="16"/>
        <item x="17"/>
        <item x="19"/>
        <item x="18"/>
        <item x="20"/>
        <item x="21"/>
        <item x="22"/>
        <item x="23"/>
        <item x="24"/>
        <item x="25"/>
        <item x="26"/>
        <item x="27"/>
        <item x="28"/>
        <item x="29"/>
        <item x="30"/>
        <item x="31"/>
        <item x="32"/>
        <item x="33"/>
        <item x="34"/>
        <item x="35"/>
        <item x="39"/>
        <item x="36"/>
        <item x="37"/>
        <item x="38"/>
        <item x="40"/>
        <item x="41"/>
        <item x="42"/>
        <item x="43"/>
        <item x="44"/>
        <item x="45"/>
        <item x="46"/>
        <item x="47"/>
        <item x="48"/>
        <item x="49"/>
        <item x="50"/>
        <item x="51"/>
        <item t="default"/>
      </items>
      <autoSortScope>
        <pivotArea dataOnly="0" outline="0" fieldPosition="0">
          <references count="1">
            <reference field="4294967294" count="1" selected="0">
              <x v="0"/>
            </reference>
          </references>
        </pivotArea>
      </autoSortScope>
    </pivotField>
    <pivotField showAll="0"/>
    <pivotField showAll="0">
      <items count="5">
        <item x="0"/>
        <item x="2"/>
        <item x="1"/>
        <item x="3"/>
        <item t="default"/>
      </items>
    </pivotField>
    <pivotField showAll="0"/>
    <pivotField showAll="0"/>
    <pivotField numFmtId="4" showAll="0"/>
    <pivotField showAll="0"/>
    <pivotField dataField="1" showAll="0"/>
    <pivotField showAll="0"/>
    <pivotField showAll="0"/>
    <pivotField numFmtId="4" showAll="0"/>
    <pivotField showAll="0"/>
    <pivotField showAll="0"/>
    <pivotField numFmtId="4" showAll="0"/>
    <pivotField showAll="0"/>
  </pivotFields>
  <rowFields count="1">
    <field x="1"/>
  </rowFields>
  <rowItems count="53">
    <i>
      <x v="26"/>
    </i>
    <i>
      <x v="2"/>
    </i>
    <i>
      <x v="35"/>
    </i>
    <i>
      <x v="1"/>
    </i>
    <i>
      <x v="3"/>
    </i>
    <i>
      <x v="39"/>
    </i>
    <i>
      <x v="34"/>
    </i>
    <i>
      <x v="36"/>
    </i>
    <i>
      <x v="51"/>
    </i>
    <i>
      <x v="43"/>
    </i>
    <i>
      <x v="29"/>
    </i>
    <i>
      <x/>
    </i>
    <i>
      <x v="19"/>
    </i>
    <i>
      <x v="18"/>
    </i>
    <i>
      <x v="4"/>
    </i>
    <i>
      <x v="6"/>
    </i>
    <i>
      <x v="30"/>
    </i>
    <i>
      <x v="46"/>
    </i>
    <i>
      <x v="9"/>
    </i>
    <i>
      <x v="27"/>
    </i>
    <i>
      <x v="37"/>
    </i>
    <i>
      <x v="7"/>
    </i>
    <i>
      <x v="45"/>
    </i>
    <i>
      <x v="22"/>
    </i>
    <i>
      <x v="32"/>
    </i>
    <i>
      <x v="38"/>
    </i>
    <i>
      <x v="50"/>
    </i>
    <i>
      <x v="31"/>
    </i>
    <i>
      <x v="28"/>
    </i>
    <i>
      <x v="10"/>
    </i>
    <i>
      <x v="48"/>
    </i>
    <i>
      <x v="24"/>
    </i>
    <i>
      <x v="5"/>
    </i>
    <i>
      <x v="14"/>
    </i>
    <i>
      <x v="16"/>
    </i>
    <i>
      <x v="25"/>
    </i>
    <i>
      <x v="33"/>
    </i>
    <i>
      <x v="44"/>
    </i>
    <i>
      <x v="12"/>
    </i>
    <i>
      <x v="11"/>
    </i>
    <i>
      <x v="42"/>
    </i>
    <i>
      <x v="47"/>
    </i>
    <i>
      <x v="13"/>
    </i>
    <i>
      <x v="23"/>
    </i>
    <i>
      <x v="41"/>
    </i>
    <i>
      <x v="15"/>
    </i>
    <i>
      <x v="40"/>
    </i>
    <i>
      <x v="49"/>
    </i>
    <i>
      <x v="20"/>
    </i>
    <i>
      <x v="8"/>
    </i>
    <i>
      <x v="17"/>
    </i>
    <i>
      <x v="21"/>
    </i>
    <i t="grand">
      <x/>
    </i>
  </rowItems>
  <colItems count="1">
    <i/>
  </colItems>
  <dataFields count="1">
    <dataField name="Average of YoY" fld="8" subtotal="average" baseField="1" baseItem="0"/>
  </dataFields>
  <chartFormats count="44">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1" count="1" selected="0">
            <x v="2"/>
          </reference>
        </references>
      </pivotArea>
    </chartFormat>
    <chartFormat chart="25" format="4">
      <pivotArea type="data" outline="0" fieldPosition="0">
        <references count="2">
          <reference field="4294967294" count="1" selected="0">
            <x v="0"/>
          </reference>
          <reference field="1" count="1" selected="0">
            <x v="36"/>
          </reference>
        </references>
      </pivotArea>
    </chartFormat>
    <chartFormat chart="25" format="5">
      <pivotArea type="data" outline="0" fieldPosition="0">
        <references count="2">
          <reference field="4294967294" count="1" selected="0">
            <x v="0"/>
          </reference>
          <reference field="1" count="1" selected="0">
            <x v="34"/>
          </reference>
        </references>
      </pivotArea>
    </chartFormat>
    <chartFormat chart="25" format="6">
      <pivotArea type="data" outline="0" fieldPosition="0">
        <references count="2">
          <reference field="4294967294" count="1" selected="0">
            <x v="0"/>
          </reference>
          <reference field="1" count="1" selected="0">
            <x v="39"/>
          </reference>
        </references>
      </pivotArea>
    </chartFormat>
    <chartFormat chart="25" format="7">
      <pivotArea type="data" outline="0" fieldPosition="0">
        <references count="2">
          <reference field="4294967294" count="1" selected="0">
            <x v="0"/>
          </reference>
          <reference field="1" count="1" selected="0">
            <x v="3"/>
          </reference>
        </references>
      </pivotArea>
    </chartFormat>
    <chartFormat chart="25" format="8">
      <pivotArea type="data" outline="0" fieldPosition="0">
        <references count="2">
          <reference field="4294967294" count="1" selected="0">
            <x v="0"/>
          </reference>
          <reference field="1" count="1" selected="0">
            <x v="1"/>
          </reference>
        </references>
      </pivotArea>
    </chartFormat>
    <chartFormat chart="25" format="9">
      <pivotArea type="data" outline="0" fieldPosition="0">
        <references count="2">
          <reference field="4294967294" count="1" selected="0">
            <x v="0"/>
          </reference>
          <reference field="1" count="1" selected="0">
            <x v="35"/>
          </reference>
        </references>
      </pivotArea>
    </chartFormat>
    <chartFormat chart="25" format="10">
      <pivotArea type="data" outline="0" fieldPosition="0">
        <references count="2">
          <reference field="4294967294" count="1" selected="0">
            <x v="0"/>
          </reference>
          <reference field="1" count="1" selected="0">
            <x v="26"/>
          </reference>
        </references>
      </pivotArea>
    </chartFormat>
    <chartFormat chart="25" format="11">
      <pivotArea type="data" outline="0" fieldPosition="0">
        <references count="2">
          <reference field="4294967294" count="1" selected="0">
            <x v="0"/>
          </reference>
          <reference field="1" count="1" selected="0">
            <x v="51"/>
          </reference>
        </references>
      </pivotArea>
    </chartFormat>
    <chartFormat chart="25" format="12">
      <pivotArea type="data" outline="0" fieldPosition="0">
        <references count="2">
          <reference field="4294967294" count="1" selected="0">
            <x v="0"/>
          </reference>
          <reference field="1" count="1" selected="0">
            <x v="43"/>
          </reference>
        </references>
      </pivotArea>
    </chartFormat>
    <chartFormat chart="25" format="13">
      <pivotArea type="data" outline="0" fieldPosition="0">
        <references count="2">
          <reference field="4294967294" count="1" selected="0">
            <x v="0"/>
          </reference>
          <reference field="1" count="1" selected="0">
            <x v="29"/>
          </reference>
        </references>
      </pivotArea>
    </chartFormat>
    <chartFormat chart="25" format="14">
      <pivotArea type="data" outline="0" fieldPosition="0">
        <references count="2">
          <reference field="4294967294" count="1" selected="0">
            <x v="0"/>
          </reference>
          <reference field="1" count="1" selected="0">
            <x v="0"/>
          </reference>
        </references>
      </pivotArea>
    </chartFormat>
    <chartFormat chart="25" format="15">
      <pivotArea type="data" outline="0" fieldPosition="0">
        <references count="2">
          <reference field="4294967294" count="1" selected="0">
            <x v="0"/>
          </reference>
          <reference field="1" count="1" selected="0">
            <x v="19"/>
          </reference>
        </references>
      </pivotArea>
    </chartFormat>
    <chartFormat chart="25" format="16">
      <pivotArea type="data" outline="0" fieldPosition="0">
        <references count="2">
          <reference field="4294967294" count="1" selected="0">
            <x v="0"/>
          </reference>
          <reference field="1" count="1" selected="0">
            <x v="18"/>
          </reference>
        </references>
      </pivotArea>
    </chartFormat>
    <chartFormat chart="25" format="17">
      <pivotArea type="data" outline="0" fieldPosition="0">
        <references count="2">
          <reference field="4294967294" count="1" selected="0">
            <x v="0"/>
          </reference>
          <reference field="1" count="1" selected="0">
            <x v="4"/>
          </reference>
        </references>
      </pivotArea>
    </chartFormat>
    <chartFormat chart="25" format="18">
      <pivotArea type="data" outline="0" fieldPosition="0">
        <references count="2">
          <reference field="4294967294" count="1" selected="0">
            <x v="0"/>
          </reference>
          <reference field="1" count="1" selected="0">
            <x v="6"/>
          </reference>
        </references>
      </pivotArea>
    </chartFormat>
    <chartFormat chart="25" format="19">
      <pivotArea type="data" outline="0" fieldPosition="0">
        <references count="2">
          <reference field="4294967294" count="1" selected="0">
            <x v="0"/>
          </reference>
          <reference field="1" count="1" selected="0">
            <x v="30"/>
          </reference>
        </references>
      </pivotArea>
    </chartFormat>
    <chartFormat chart="25" format="20">
      <pivotArea type="data" outline="0" fieldPosition="0">
        <references count="2">
          <reference field="4294967294" count="1" selected="0">
            <x v="0"/>
          </reference>
          <reference field="1" count="1" selected="0">
            <x v="46"/>
          </reference>
        </references>
      </pivotArea>
    </chartFormat>
    <chartFormat chart="25" format="21">
      <pivotArea type="data" outline="0" fieldPosition="0">
        <references count="2">
          <reference field="4294967294" count="1" selected="0">
            <x v="0"/>
          </reference>
          <reference field="1" count="1" selected="0">
            <x v="9"/>
          </reference>
        </references>
      </pivotArea>
    </chartFormat>
    <chartFormat chart="25" format="22">
      <pivotArea type="data" outline="0" fieldPosition="0">
        <references count="2">
          <reference field="4294967294" count="1" selected="0">
            <x v="0"/>
          </reference>
          <reference field="1" count="1" selected="0">
            <x v="27"/>
          </reference>
        </references>
      </pivotArea>
    </chartFormat>
    <chartFormat chart="25" format="23">
      <pivotArea type="data" outline="0" fieldPosition="0">
        <references count="2">
          <reference field="4294967294" count="1" selected="0">
            <x v="0"/>
          </reference>
          <reference field="1" count="1" selected="0">
            <x v="37"/>
          </reference>
        </references>
      </pivotArea>
    </chartFormat>
    <chartFormat chart="25" format="24">
      <pivotArea type="data" outline="0" fieldPosition="0">
        <references count="2">
          <reference field="4294967294" count="1" selected="0">
            <x v="0"/>
          </reference>
          <reference field="1" count="1" selected="0">
            <x v="7"/>
          </reference>
        </references>
      </pivotArea>
    </chartFormat>
    <chartFormat chart="25" format="25">
      <pivotArea type="data" outline="0" fieldPosition="0">
        <references count="2">
          <reference field="4294967294" count="1" selected="0">
            <x v="0"/>
          </reference>
          <reference field="1" count="1" selected="0">
            <x v="45"/>
          </reference>
        </references>
      </pivotArea>
    </chartFormat>
    <chartFormat chart="25" format="26">
      <pivotArea type="data" outline="0" fieldPosition="0">
        <references count="2">
          <reference field="4294967294" count="1" selected="0">
            <x v="0"/>
          </reference>
          <reference field="1" count="1" selected="0">
            <x v="22"/>
          </reference>
        </references>
      </pivotArea>
    </chartFormat>
    <chartFormat chart="25" format="27">
      <pivotArea type="data" outline="0" fieldPosition="0">
        <references count="2">
          <reference field="4294967294" count="1" selected="0">
            <x v="0"/>
          </reference>
          <reference field="1" count="1" selected="0">
            <x v="32"/>
          </reference>
        </references>
      </pivotArea>
    </chartFormat>
    <chartFormat chart="25" format="28">
      <pivotArea type="data" outline="0" fieldPosition="0">
        <references count="2">
          <reference field="4294967294" count="1" selected="0">
            <x v="0"/>
          </reference>
          <reference field="1" count="1" selected="0">
            <x v="38"/>
          </reference>
        </references>
      </pivotArea>
    </chartFormat>
    <chartFormat chart="25" format="29">
      <pivotArea type="data" outline="0" fieldPosition="0">
        <references count="2">
          <reference field="4294967294" count="1" selected="0">
            <x v="0"/>
          </reference>
          <reference field="1" count="1" selected="0">
            <x v="50"/>
          </reference>
        </references>
      </pivotArea>
    </chartFormat>
    <chartFormat chart="25" format="30">
      <pivotArea type="data" outline="0" fieldPosition="0">
        <references count="2">
          <reference field="4294967294" count="1" selected="0">
            <x v="0"/>
          </reference>
          <reference field="1" count="1" selected="0">
            <x v="31"/>
          </reference>
        </references>
      </pivotArea>
    </chartFormat>
    <chartFormat chart="25" format="31">
      <pivotArea type="data" outline="0" fieldPosition="0">
        <references count="2">
          <reference field="4294967294" count="1" selected="0">
            <x v="0"/>
          </reference>
          <reference field="1" count="1" selected="0">
            <x v="28"/>
          </reference>
        </references>
      </pivotArea>
    </chartFormat>
    <chartFormat chart="25" format="32">
      <pivotArea type="data" outline="0" fieldPosition="0">
        <references count="2">
          <reference field="4294967294" count="1" selected="0">
            <x v="0"/>
          </reference>
          <reference field="1" count="1" selected="0">
            <x v="33"/>
          </reference>
        </references>
      </pivotArea>
    </chartFormat>
    <chartFormat chart="25" format="33">
      <pivotArea type="data" outline="0" fieldPosition="0">
        <references count="2">
          <reference field="4294967294" count="1" selected="0">
            <x v="0"/>
          </reference>
          <reference field="1" count="1" selected="0">
            <x v="25"/>
          </reference>
        </references>
      </pivotArea>
    </chartFormat>
    <chartFormat chart="25" format="34">
      <pivotArea type="data" outline="0" fieldPosition="0">
        <references count="2">
          <reference field="4294967294" count="1" selected="0">
            <x v="0"/>
          </reference>
          <reference field="1" count="1" selected="0">
            <x v="10"/>
          </reference>
        </references>
      </pivotArea>
    </chartFormat>
    <chartFormat chart="25" format="35">
      <pivotArea type="data" outline="0" fieldPosition="0">
        <references count="2">
          <reference field="4294967294" count="1" selected="0">
            <x v="0"/>
          </reference>
          <reference field="1" count="1" selected="0">
            <x v="48"/>
          </reference>
        </references>
      </pivotArea>
    </chartFormat>
    <chartFormat chart="25" format="36">
      <pivotArea type="data" outline="0" fieldPosition="0">
        <references count="2">
          <reference field="4294967294" count="1" selected="0">
            <x v="0"/>
          </reference>
          <reference field="1" count="1" selected="0">
            <x v="24"/>
          </reference>
        </references>
      </pivotArea>
    </chartFormat>
    <chartFormat chart="25" format="37">
      <pivotArea type="data" outline="0" fieldPosition="0">
        <references count="2">
          <reference field="4294967294" count="1" selected="0">
            <x v="0"/>
          </reference>
          <reference field="1" count="1" selected="0">
            <x v="14"/>
          </reference>
        </references>
      </pivotArea>
    </chartFormat>
    <chartFormat chart="25" format="38">
      <pivotArea type="data" outline="0" fieldPosition="0">
        <references count="2">
          <reference field="4294967294" count="1" selected="0">
            <x v="0"/>
          </reference>
          <reference field="1" count="1" selected="0">
            <x v="5"/>
          </reference>
        </references>
      </pivotArea>
    </chartFormat>
    <chartFormat chart="25" format="39">
      <pivotArea type="data" outline="0" fieldPosition="0">
        <references count="2">
          <reference field="4294967294" count="1" selected="0">
            <x v="0"/>
          </reference>
          <reference field="1" count="1" selected="0">
            <x v="16"/>
          </reference>
        </references>
      </pivotArea>
    </chartFormat>
    <chartFormat chart="25" format="40">
      <pivotArea type="data" outline="0" fieldPosition="0">
        <references count="2">
          <reference field="4294967294" count="1" selected="0">
            <x v="0"/>
          </reference>
          <reference field="1" count="1" selected="0">
            <x v="44"/>
          </reference>
        </references>
      </pivotArea>
    </chartFormat>
    <chartFormat chart="25" format="41">
      <pivotArea type="data" outline="0" fieldPosition="0">
        <references count="2">
          <reference field="4294967294" count="1" selected="0">
            <x v="0"/>
          </reference>
          <reference field="1" count="1" selected="0">
            <x v="12"/>
          </reference>
        </references>
      </pivotArea>
    </chartFormat>
    <chartFormat chart="25" format="42">
      <pivotArea type="data" outline="0" fieldPosition="0">
        <references count="2">
          <reference field="4294967294" count="1" selected="0">
            <x v="0"/>
          </reference>
          <reference field="1" count="1" selected="0">
            <x v="11"/>
          </reference>
        </references>
      </pivotArea>
    </chartFormat>
    <chartFormat chart="25" format="43">
      <pivotArea type="data" outline="0" fieldPosition="0">
        <references count="2">
          <reference field="4294967294" count="1" selected="0">
            <x v="0"/>
          </reference>
          <reference field="1" count="1" selected="0">
            <x v="42"/>
          </reference>
        </references>
      </pivotArea>
    </chartFormat>
    <chartFormat chart="25" format="44">
      <pivotArea type="data" outline="0" fieldPosition="0">
        <references count="2">
          <reference field="4294967294" count="1" selected="0">
            <x v="0"/>
          </reference>
          <reference field="1" count="1" selected="0">
            <x v="47"/>
          </reference>
        </references>
      </pivotArea>
    </chartFormat>
    <chartFormat chart="25" format="45">
      <pivotArea type="data" outline="0" fieldPosition="0">
        <references count="2">
          <reference field="4294967294" count="1" selected="0">
            <x v="0"/>
          </reference>
          <reference field="1"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011E35E-4341-4B54-BD80-879DE143958A}" sourceName="Month">
  <pivotTables>
    <pivotTable tabId="10" name="PivotTable1"/>
    <pivotTable tabId="10" name="PivotTable2"/>
    <pivotTable tabId="10" name="PivotTable3"/>
    <pivotTable tabId="10" name="PivotTable4"/>
    <pivotTable tabId="10" name="PivotTable5"/>
  </pivotTables>
  <data>
    <tabular pivotCacheId="1677495461">
      <items count="6">
        <i x="5" s="1"/>
        <i x="1" s="1"/>
        <i x="3"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ndardized_Item" xr10:uid="{7AB5FDCB-6975-4A6D-8C07-1ABB2BD5CC54}" sourceName="Standardized Item">
  <pivotTables>
    <pivotTable tabId="10" name="PivotTable1"/>
    <pivotTable tabId="10" name="PivotTable2"/>
    <pivotTable tabId="10" name="PivotTable3"/>
    <pivotTable tabId="10" name="PivotTable4"/>
    <pivotTable tabId="10" name="PivotTable5"/>
  </pivotTables>
  <data>
    <tabular pivotCacheId="1677495461">
      <items count="52">
        <i x="0" s="1"/>
        <i x="1" s="1"/>
        <i x="2" s="1"/>
        <i x="3" s="1"/>
        <i x="4" s="1"/>
        <i x="5" s="1"/>
        <i x="6" s="1"/>
        <i x="7" s="1"/>
        <i x="8" s="1"/>
        <i x="9" s="1"/>
        <i x="10" s="1"/>
        <i x="11" s="1"/>
        <i x="13" s="1"/>
        <i x="14" s="1"/>
        <i x="12" s="1"/>
        <i x="15" s="1"/>
        <i x="16" s="1"/>
        <i x="17" s="1"/>
        <i x="19" s="1"/>
        <i x="18" s="1"/>
        <i x="20" s="1"/>
        <i x="21" s="1"/>
        <i x="22" s="1"/>
        <i x="23" s="1"/>
        <i x="24" s="1"/>
        <i x="25" s="1"/>
        <i x="26" s="1"/>
        <i x="27" s="1"/>
        <i x="28" s="1"/>
        <i x="29" s="1"/>
        <i x="30" s="1"/>
        <i x="31" s="1"/>
        <i x="32" s="1"/>
        <i x="33" s="1"/>
        <i x="34" s="1"/>
        <i x="35" s="1"/>
        <i x="39" s="1"/>
        <i x="36" s="1"/>
        <i x="37" s="1"/>
        <i x="38" s="1"/>
        <i x="40" s="1"/>
        <i x="41" s="1"/>
        <i x="42" s="1"/>
        <i x="43" s="1"/>
        <i x="44" s="1"/>
        <i x="45" s="1"/>
        <i x="46" s="1"/>
        <i x="47" s="1"/>
        <i x="48" s="1"/>
        <i x="49" s="1"/>
        <i x="50" s="1"/>
        <i x="5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ch_Confidence" xr10:uid="{41EEC962-942E-497D-BE72-9B7D5E29FDE0}" sourceName="Match Confidence">
  <pivotTables>
    <pivotTable tabId="10" name="PivotTable1"/>
    <pivotTable tabId="10" name="PivotTable2"/>
    <pivotTable tabId="10" name="PivotTable3"/>
    <pivotTable tabId="10" name="PivotTable4"/>
    <pivotTable tabId="10" name="PivotTable5"/>
  </pivotTables>
  <data>
    <tabular pivotCacheId="1677495461">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529F9B6-F544-4D4F-8A11-A9D112EBBA16}" cache="Slicer_Month" caption="Month" rowHeight="241300"/>
  <slicer name="Standardized Item" xr10:uid="{902E6709-0A30-4A76-B9FB-65C8561C66CA}" cache="Slicer_Standardized_Item" caption="Standardized Item" startItem="8" rowHeight="241300"/>
  <slicer name="Match Confidence" xr10:uid="{09A04BCE-7630-4FA5-AFE5-FACD5EEAFB98}" cache="Slicer_Match_Confidence" caption="Match Confidence"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
  <sheetViews>
    <sheetView showGridLines="0" zoomScaleNormal="100" workbookViewId="0">
      <selection activeCell="A2" sqref="A2:B50"/>
    </sheetView>
  </sheetViews>
  <sheetFormatPr defaultColWidth="8.7109375" defaultRowHeight="15" x14ac:dyDescent="0.25"/>
  <cols>
    <col min="1" max="1" width="9.28515625" customWidth="1"/>
    <col min="2" max="2" width="65.5703125" customWidth="1"/>
    <col min="5" max="5" width="8.7109375" customWidth="1"/>
    <col min="6" max="6" width="9.140625" customWidth="1"/>
  </cols>
  <sheetData>
    <row r="1" spans="1:6" ht="18" x14ac:dyDescent="0.25">
      <c r="A1" s="17"/>
      <c r="B1" s="17"/>
      <c r="C1" s="17"/>
      <c r="D1" s="17"/>
      <c r="E1" s="17"/>
      <c r="F1" s="17"/>
    </row>
    <row r="2" spans="1:6" ht="26.25" x14ac:dyDescent="0.25">
      <c r="A2" s="20" t="s">
        <v>708</v>
      </c>
    </row>
    <row r="3" spans="1:6" ht="15.75" x14ac:dyDescent="0.25">
      <c r="A3" s="21" t="s">
        <v>709</v>
      </c>
    </row>
    <row r="4" spans="1:6" x14ac:dyDescent="0.25">
      <c r="A4" s="22" t="s">
        <v>710</v>
      </c>
    </row>
    <row r="5" spans="1:6" ht="19.5" x14ac:dyDescent="0.25">
      <c r="A5" s="23" t="s">
        <v>711</v>
      </c>
    </row>
    <row r="6" spans="1:6" x14ac:dyDescent="0.25">
      <c r="A6" s="24" t="s">
        <v>712</v>
      </c>
    </row>
    <row r="7" spans="1:6" ht="15.75" thickBot="1" x14ac:dyDescent="0.3">
      <c r="A7" s="24" t="s">
        <v>713</v>
      </c>
    </row>
    <row r="8" spans="1:6" ht="26.25" thickBot="1" x14ac:dyDescent="0.3">
      <c r="A8" s="25" t="s">
        <v>2</v>
      </c>
      <c r="B8" s="26" t="s">
        <v>714</v>
      </c>
    </row>
    <row r="9" spans="1:6" ht="15.75" thickBot="1" x14ac:dyDescent="0.3">
      <c r="A9" s="27">
        <v>45597</v>
      </c>
      <c r="B9" s="28">
        <v>84423</v>
      </c>
    </row>
    <row r="10" spans="1:6" ht="15.75" thickBot="1" x14ac:dyDescent="0.3">
      <c r="A10" s="29">
        <v>45627</v>
      </c>
      <c r="B10" s="30">
        <v>85881</v>
      </c>
    </row>
    <row r="11" spans="1:6" ht="15.75" thickBot="1" x14ac:dyDescent="0.3">
      <c r="A11" s="27">
        <v>45658</v>
      </c>
      <c r="B11" s="28">
        <v>89710</v>
      </c>
    </row>
    <row r="12" spans="1:6" ht="15.75" thickBot="1" x14ac:dyDescent="0.3">
      <c r="A12" s="29">
        <v>45689</v>
      </c>
      <c r="B12" s="30">
        <v>91022</v>
      </c>
    </row>
    <row r="13" spans="1:6" ht="15.75" thickBot="1" x14ac:dyDescent="0.3">
      <c r="A13" s="27">
        <v>45717</v>
      </c>
      <c r="B13" s="28">
        <v>97158</v>
      </c>
    </row>
    <row r="14" spans="1:6" ht="15.75" thickBot="1" x14ac:dyDescent="0.3">
      <c r="A14" s="29">
        <v>45748</v>
      </c>
      <c r="B14" s="30">
        <v>95788</v>
      </c>
    </row>
    <row r="15" spans="1:6" x14ac:dyDescent="0.25">
      <c r="A15" s="24"/>
    </row>
    <row r="16" spans="1:6" ht="19.5" x14ac:dyDescent="0.25">
      <c r="A16" s="23" t="s">
        <v>715</v>
      </c>
    </row>
    <row r="17" spans="1:2" ht="15.75" thickBot="1" x14ac:dyDescent="0.3">
      <c r="A17" s="24" t="s">
        <v>716</v>
      </c>
    </row>
    <row r="18" spans="1:2" ht="26.25" thickBot="1" x14ac:dyDescent="0.3">
      <c r="A18" s="25" t="s">
        <v>717</v>
      </c>
      <c r="B18" s="26" t="s">
        <v>638</v>
      </c>
    </row>
    <row r="19" spans="1:2" ht="77.25" thickBot="1" x14ac:dyDescent="0.3">
      <c r="A19" s="31" t="s">
        <v>718</v>
      </c>
      <c r="B19" s="32">
        <v>0.997</v>
      </c>
    </row>
    <row r="20" spans="1:2" ht="26.25" thickBot="1" x14ac:dyDescent="0.3">
      <c r="A20" s="33" t="s">
        <v>719</v>
      </c>
      <c r="B20" s="34">
        <v>0.875</v>
      </c>
    </row>
    <row r="21" spans="1:2" ht="26.25" thickBot="1" x14ac:dyDescent="0.3">
      <c r="A21" s="31" t="s">
        <v>720</v>
      </c>
      <c r="B21" s="32">
        <v>0.74399999999999999</v>
      </c>
    </row>
    <row r="22" spans="1:2" ht="39" thickBot="1" x14ac:dyDescent="0.3">
      <c r="A22" s="33" t="s">
        <v>721</v>
      </c>
      <c r="B22" s="34">
        <v>0.73799999999999999</v>
      </c>
    </row>
    <row r="23" spans="1:2" ht="26.25" thickBot="1" x14ac:dyDescent="0.3">
      <c r="A23" s="31" t="s">
        <v>722</v>
      </c>
      <c r="B23" s="32">
        <v>0.71899999999999997</v>
      </c>
    </row>
    <row r="24" spans="1:2" ht="26.25" thickBot="1" x14ac:dyDescent="0.3">
      <c r="A24" s="33" t="s">
        <v>723</v>
      </c>
      <c r="B24" s="34">
        <v>0.621</v>
      </c>
    </row>
    <row r="25" spans="1:2" x14ac:dyDescent="0.25">
      <c r="A25" s="24"/>
    </row>
    <row r="26" spans="1:2" x14ac:dyDescent="0.25">
      <c r="A26" s="35" t="s">
        <v>724</v>
      </c>
    </row>
    <row r="27" spans="1:2" ht="19.5" x14ac:dyDescent="0.25">
      <c r="A27" s="23" t="s">
        <v>725</v>
      </c>
    </row>
    <row r="28" spans="1:2" x14ac:dyDescent="0.25">
      <c r="A28" s="24" t="s">
        <v>726</v>
      </c>
    </row>
    <row r="29" spans="1:2" x14ac:dyDescent="0.25">
      <c r="A29" s="24" t="s">
        <v>727</v>
      </c>
    </row>
    <row r="30" spans="1:2" ht="19.5" x14ac:dyDescent="0.25">
      <c r="A30" s="23" t="s">
        <v>728</v>
      </c>
    </row>
    <row r="31" spans="1:2" ht="15.75" thickBot="1" x14ac:dyDescent="0.3">
      <c r="A31" s="24" t="s">
        <v>729</v>
      </c>
    </row>
    <row r="32" spans="1:2" ht="26.25" thickBot="1" x14ac:dyDescent="0.3">
      <c r="A32" s="25" t="s">
        <v>649</v>
      </c>
      <c r="B32" s="26" t="s">
        <v>730</v>
      </c>
    </row>
    <row r="33" spans="1:2" ht="26.25" thickBot="1" x14ac:dyDescent="0.3">
      <c r="A33" s="31" t="s">
        <v>393</v>
      </c>
      <c r="B33" s="36">
        <v>3.02</v>
      </c>
    </row>
    <row r="34" spans="1:2" ht="51.75" thickBot="1" x14ac:dyDescent="0.3">
      <c r="A34" s="33" t="s">
        <v>731</v>
      </c>
      <c r="B34" s="37">
        <v>2.67</v>
      </c>
    </row>
    <row r="35" spans="1:2" ht="26.25" thickBot="1" x14ac:dyDescent="0.3">
      <c r="A35" s="31" t="s">
        <v>502</v>
      </c>
      <c r="B35" s="36">
        <v>2.59</v>
      </c>
    </row>
    <row r="36" spans="1:2" ht="26.25" thickBot="1" x14ac:dyDescent="0.3">
      <c r="A36" s="33" t="s">
        <v>732</v>
      </c>
      <c r="B36" s="37">
        <v>2.4700000000000002</v>
      </c>
    </row>
    <row r="37" spans="1:2" ht="26.25" thickBot="1" x14ac:dyDescent="0.3">
      <c r="A37" s="31" t="s">
        <v>567</v>
      </c>
      <c r="B37" s="36">
        <v>2.09</v>
      </c>
    </row>
    <row r="38" spans="1:2" x14ac:dyDescent="0.25">
      <c r="A38" s="24"/>
    </row>
    <row r="39" spans="1:2" x14ac:dyDescent="0.25">
      <c r="A39" s="24" t="s">
        <v>733</v>
      </c>
    </row>
    <row r="40" spans="1:2" ht="19.5" x14ac:dyDescent="0.25">
      <c r="A40" s="23" t="s">
        <v>734</v>
      </c>
    </row>
    <row r="41" spans="1:2" ht="15.75" x14ac:dyDescent="0.25">
      <c r="A41" s="38" t="s">
        <v>735</v>
      </c>
    </row>
    <row r="42" spans="1:2" x14ac:dyDescent="0.25">
      <c r="A42" s="24" t="s">
        <v>736</v>
      </c>
    </row>
    <row r="43" spans="1:2" ht="15.75" x14ac:dyDescent="0.25">
      <c r="A43" s="38" t="s">
        <v>737</v>
      </c>
    </row>
    <row r="44" spans="1:2" x14ac:dyDescent="0.25">
      <c r="A44" s="24" t="s">
        <v>738</v>
      </c>
    </row>
    <row r="45" spans="1:2" ht="15.75" x14ac:dyDescent="0.25">
      <c r="A45" s="38" t="s">
        <v>739</v>
      </c>
    </row>
    <row r="46" spans="1:2" x14ac:dyDescent="0.25">
      <c r="A46" s="24" t="s">
        <v>740</v>
      </c>
    </row>
    <row r="47" spans="1:2" ht="15.75" x14ac:dyDescent="0.25">
      <c r="A47" s="38" t="s">
        <v>741</v>
      </c>
    </row>
    <row r="48" spans="1:2" x14ac:dyDescent="0.25">
      <c r="A48" s="24" t="s">
        <v>742</v>
      </c>
    </row>
    <row r="49" spans="1:1" x14ac:dyDescent="0.25">
      <c r="A49" s="24"/>
    </row>
    <row r="50" spans="1:1" x14ac:dyDescent="0.25">
      <c r="A50" s="39" t="s">
        <v>743</v>
      </c>
    </row>
  </sheetData>
  <mergeCells count="1">
    <mergeCell ref="A1:F1"/>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
  <sheetViews>
    <sheetView showGridLines="0" tabSelected="1" zoomScale="41" zoomScaleNormal="41" workbookViewId="0">
      <selection activeCell="X3" sqref="X3:X4"/>
    </sheetView>
  </sheetViews>
  <sheetFormatPr defaultColWidth="8.7109375" defaultRowHeight="15" x14ac:dyDescent="0.25"/>
  <cols>
    <col min="1" max="1" width="12" style="15" customWidth="1"/>
    <col min="2" max="2" width="16" style="15" customWidth="1"/>
    <col min="3" max="4" width="10" style="15" customWidth="1"/>
    <col min="5" max="11" width="8.7109375" style="15"/>
    <col min="12" max="12" width="33.28515625" style="15" customWidth="1"/>
    <col min="13" max="16384" width="8.7109375" style="15"/>
  </cols>
  <sheetData>
    <row r="1" spans="1:12" s="14" customFormat="1" ht="30" x14ac:dyDescent="0.4">
      <c r="A1" s="18" t="s">
        <v>707</v>
      </c>
      <c r="B1" s="18"/>
      <c r="C1" s="18"/>
      <c r="D1" s="18"/>
      <c r="E1" s="18"/>
      <c r="F1" s="18"/>
      <c r="G1" s="18"/>
      <c r="H1" s="18"/>
      <c r="I1" s="18"/>
      <c r="J1" s="18"/>
      <c r="K1" s="18"/>
      <c r="L1" s="18"/>
    </row>
    <row r="2" spans="1:12" s="16" customFormat="1" ht="23.25" x14ac:dyDescent="0.35">
      <c r="A2" s="19" t="s">
        <v>0</v>
      </c>
      <c r="B2" s="19"/>
      <c r="C2" s="19"/>
      <c r="D2" s="19"/>
      <c r="E2" s="19"/>
      <c r="F2" s="19"/>
      <c r="G2" s="19"/>
      <c r="H2" s="19"/>
      <c r="I2" s="19"/>
      <c r="J2" s="19"/>
      <c r="K2" s="19"/>
      <c r="L2" s="19"/>
    </row>
    <row r="6" spans="1:12" ht="19.5" customHeight="1" x14ac:dyDescent="0.25"/>
  </sheetData>
  <mergeCells count="2">
    <mergeCell ref="A1:L1"/>
    <mergeCell ref="A2:L2"/>
  </mergeCells>
  <pageMargins left="0.75" right="0.75" top="1" bottom="1" header="0.511811023622047" footer="0.511811023622047"/>
  <pageSetup paperSize="9" orientation="portrait" horizontalDpi="300" verticalDpi="300"/>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E09F-4454-46A6-857F-6D5726A9E784}">
  <dimension ref="A2:AP79"/>
  <sheetViews>
    <sheetView topLeftCell="AH23" workbookViewId="0">
      <selection activeCell="AO27" sqref="AO27"/>
    </sheetView>
  </sheetViews>
  <sheetFormatPr defaultRowHeight="15" x14ac:dyDescent="0.25"/>
  <cols>
    <col min="1" max="1" width="41.28515625" bestFit="1" customWidth="1"/>
    <col min="2" max="2" width="16.28515625" bestFit="1" customWidth="1"/>
    <col min="3" max="7" width="10.140625" bestFit="1" customWidth="1"/>
    <col min="8" max="8" width="11.28515625" bestFit="1" customWidth="1"/>
    <col min="12" max="12" width="41.28515625" bestFit="1" customWidth="1"/>
    <col min="13" max="13" width="16.28515625" bestFit="1" customWidth="1"/>
    <col min="14" max="14" width="12" bestFit="1" customWidth="1"/>
    <col min="15" max="15" width="12.7109375" bestFit="1" customWidth="1"/>
    <col min="16" max="16" width="12" bestFit="1" customWidth="1"/>
    <col min="17" max="17" width="12.7109375" bestFit="1" customWidth="1"/>
    <col min="18" max="18" width="12" bestFit="1" customWidth="1"/>
    <col min="19" max="19" width="12.7109375" bestFit="1" customWidth="1"/>
    <col min="20" max="20" width="12" bestFit="1" customWidth="1"/>
    <col min="21" max="21" width="12.42578125" bestFit="1" customWidth="1"/>
    <col min="22" max="22" width="12" bestFit="1" customWidth="1"/>
    <col min="23" max="23" width="12.7109375" bestFit="1" customWidth="1"/>
    <col min="24" max="24" width="12" bestFit="1" customWidth="1"/>
    <col min="25" max="25" width="17.5703125" bestFit="1" customWidth="1"/>
    <col min="26" max="26" width="16" bestFit="1" customWidth="1"/>
    <col min="30" max="30" width="41.28515625" bestFit="1" customWidth="1"/>
    <col min="31" max="31" width="14.5703125" bestFit="1" customWidth="1"/>
    <col min="32" max="33" width="12" bestFit="1" customWidth="1"/>
    <col min="34" max="34" width="13.140625" bestFit="1" customWidth="1"/>
    <col min="35" max="35" width="20.85546875" bestFit="1" customWidth="1"/>
    <col min="36" max="36" width="19.42578125" bestFit="1" customWidth="1"/>
    <col min="37" max="37" width="12" bestFit="1" customWidth="1"/>
    <col min="41" max="41" width="13.140625" bestFit="1" customWidth="1"/>
    <col min="42" max="42" width="20.42578125" bestFit="1" customWidth="1"/>
    <col min="43" max="43" width="19" bestFit="1" customWidth="1"/>
  </cols>
  <sheetData>
    <row r="2" spans="1:26" x14ac:dyDescent="0.25">
      <c r="F2" t="s">
        <v>695</v>
      </c>
      <c r="O2" t="s">
        <v>700</v>
      </c>
    </row>
    <row r="3" spans="1:26" x14ac:dyDescent="0.25">
      <c r="A3" s="11" t="s">
        <v>694</v>
      </c>
      <c r="B3" s="11" t="s">
        <v>693</v>
      </c>
      <c r="M3" s="11" t="s">
        <v>693</v>
      </c>
    </row>
    <row r="4" spans="1:26" x14ac:dyDescent="0.25">
      <c r="A4" s="11" t="s">
        <v>691</v>
      </c>
      <c r="B4" t="s">
        <v>8</v>
      </c>
      <c r="C4" t="s">
        <v>4</v>
      </c>
      <c r="D4" t="s">
        <v>6</v>
      </c>
      <c r="E4" t="s">
        <v>5</v>
      </c>
      <c r="F4" t="s">
        <v>7</v>
      </c>
      <c r="G4" t="s">
        <v>3</v>
      </c>
      <c r="H4" t="s">
        <v>692</v>
      </c>
      <c r="M4" t="s">
        <v>8</v>
      </c>
      <c r="O4" t="s">
        <v>4</v>
      </c>
      <c r="Q4" t="s">
        <v>6</v>
      </c>
      <c r="S4" t="s">
        <v>5</v>
      </c>
      <c r="U4" t="s">
        <v>7</v>
      </c>
      <c r="W4" t="s">
        <v>3</v>
      </c>
      <c r="Y4" t="s">
        <v>697</v>
      </c>
      <c r="Z4" t="s">
        <v>698</v>
      </c>
    </row>
    <row r="5" spans="1:26" x14ac:dyDescent="0.25">
      <c r="A5" s="12" t="s">
        <v>1</v>
      </c>
      <c r="B5" s="13">
        <v>259.31615245998501</v>
      </c>
      <c r="C5" s="13">
        <v>252.16549790250099</v>
      </c>
      <c r="D5" s="13">
        <v>251.94051654054101</v>
      </c>
      <c r="E5" s="13">
        <v>248.04139052252299</v>
      </c>
      <c r="F5" s="13">
        <v>261.18234628675702</v>
      </c>
      <c r="G5" s="13">
        <v>247.25909993431799</v>
      </c>
      <c r="H5" s="13">
        <v>1519.9050036466251</v>
      </c>
      <c r="L5" s="11" t="s">
        <v>691</v>
      </c>
      <c r="M5" t="s">
        <v>696</v>
      </c>
      <c r="N5" t="s">
        <v>699</v>
      </c>
      <c r="O5" t="s">
        <v>696</v>
      </c>
      <c r="P5" t="s">
        <v>699</v>
      </c>
      <c r="Q5" t="s">
        <v>696</v>
      </c>
      <c r="R5" t="s">
        <v>699</v>
      </c>
      <c r="S5" t="s">
        <v>696</v>
      </c>
      <c r="T5" t="s">
        <v>699</v>
      </c>
      <c r="U5" t="s">
        <v>696</v>
      </c>
      <c r="V5" t="s">
        <v>699</v>
      </c>
      <c r="W5" t="s">
        <v>696</v>
      </c>
      <c r="X5" t="s">
        <v>699</v>
      </c>
    </row>
    <row r="6" spans="1:26" x14ac:dyDescent="0.25">
      <c r="A6" s="12" t="s">
        <v>50</v>
      </c>
      <c r="B6" s="13">
        <v>6150.1780720720699</v>
      </c>
      <c r="C6" s="13">
        <v>2866.9150988280699</v>
      </c>
      <c r="D6" s="13">
        <v>5976.1158515450497</v>
      </c>
      <c r="E6" s="13">
        <v>5878.1406466216204</v>
      </c>
      <c r="F6" s="13">
        <v>7670.5591900852696</v>
      </c>
      <c r="G6" s="13">
        <v>2833.9730241430798</v>
      </c>
      <c r="H6" s="13">
        <v>31375.881883295162</v>
      </c>
      <c r="L6" s="12" t="s">
        <v>1</v>
      </c>
      <c r="M6">
        <v>-0.71451759787888602</v>
      </c>
      <c r="N6">
        <v>71.9045583912865</v>
      </c>
      <c r="O6">
        <v>1.98431441734056</v>
      </c>
      <c r="P6">
        <v>129.148957336553</v>
      </c>
      <c r="Q6">
        <v>1.57196587626128</v>
      </c>
      <c r="R6">
        <v>80.887516179378096</v>
      </c>
      <c r="S6">
        <v>-1.63547646854262</v>
      </c>
      <c r="T6">
        <v>113.075672641975</v>
      </c>
      <c r="U6">
        <v>3.6682586322827899</v>
      </c>
      <c r="V6">
        <v>76.566017902472794</v>
      </c>
      <c r="W6">
        <v>4.9159544386384999</v>
      </c>
      <c r="X6">
        <v>124.57913980023</v>
      </c>
      <c r="Y6">
        <v>9.7904992981016239</v>
      </c>
      <c r="Z6">
        <v>596.1618622518954</v>
      </c>
    </row>
    <row r="7" spans="1:26" x14ac:dyDescent="0.25">
      <c r="A7" s="12" t="s">
        <v>68</v>
      </c>
      <c r="B7" s="13">
        <v>2429.3885720073299</v>
      </c>
      <c r="C7" s="13">
        <v>2501.3235254572801</v>
      </c>
      <c r="D7" s="13">
        <v>2465.9627716485402</v>
      </c>
      <c r="E7" s="13">
        <v>2458.53328829572</v>
      </c>
      <c r="F7" s="13">
        <v>2616.2636109231798</v>
      </c>
      <c r="G7" s="13">
        <v>2720.9608418325502</v>
      </c>
      <c r="H7" s="13">
        <v>15192.432610164598</v>
      </c>
      <c r="L7" s="12" t="s">
        <v>50</v>
      </c>
      <c r="M7">
        <v>-19.820994536857199</v>
      </c>
      <c r="O7">
        <v>1.1623990208923001</v>
      </c>
      <c r="P7">
        <v>128.45794125703699</v>
      </c>
      <c r="Q7">
        <v>1.66677204261407</v>
      </c>
      <c r="U7">
        <v>28.353589197942899</v>
      </c>
      <c r="W7">
        <v>6.0776604903340896</v>
      </c>
      <c r="X7">
        <v>135.73679823492901</v>
      </c>
      <c r="Y7">
        <v>17.439426214926161</v>
      </c>
      <c r="Z7">
        <v>264.194739491966</v>
      </c>
    </row>
    <row r="8" spans="1:26" x14ac:dyDescent="0.25">
      <c r="A8" s="12" t="s">
        <v>86</v>
      </c>
      <c r="B8" s="13">
        <v>2097.3099314450801</v>
      </c>
      <c r="C8" s="13">
        <v>2319.0422043194098</v>
      </c>
      <c r="D8" s="13">
        <v>2114.3292357077398</v>
      </c>
      <c r="E8" s="13">
        <v>2123.8529942048899</v>
      </c>
      <c r="F8" s="13">
        <v>2215.1070570947099</v>
      </c>
      <c r="G8" s="13">
        <v>2546.70254553512</v>
      </c>
      <c r="H8" s="13">
        <v>13416.343968306948</v>
      </c>
      <c r="L8" s="12" t="s">
        <v>68</v>
      </c>
      <c r="M8">
        <v>-7.1428214701160799</v>
      </c>
      <c r="N8">
        <v>75.040225059730801</v>
      </c>
      <c r="O8">
        <v>-8.0720498802671692</v>
      </c>
      <c r="P8">
        <v>187.287884963046</v>
      </c>
      <c r="Q8">
        <v>0.30219169242862598</v>
      </c>
      <c r="R8">
        <v>109.347887265248</v>
      </c>
      <c r="S8">
        <v>-1.71070382243884</v>
      </c>
      <c r="T8">
        <v>151.74824791706499</v>
      </c>
      <c r="U8">
        <v>6.0950165591576502</v>
      </c>
      <c r="V8">
        <v>111.945801995853</v>
      </c>
      <c r="W8">
        <v>-2.7706082383305999</v>
      </c>
      <c r="X8">
        <v>224.36831340537699</v>
      </c>
      <c r="Y8">
        <v>-13.298975159566414</v>
      </c>
      <c r="Z8">
        <v>859.73836060631982</v>
      </c>
    </row>
    <row r="9" spans="1:26" x14ac:dyDescent="0.25">
      <c r="A9" s="12" t="s">
        <v>101</v>
      </c>
      <c r="B9" s="13"/>
      <c r="C9" s="13">
        <v>5153.1848804249303</v>
      </c>
      <c r="D9" s="13"/>
      <c r="E9" s="13"/>
      <c r="F9" s="13"/>
      <c r="G9" s="13">
        <v>5073.7358123538697</v>
      </c>
      <c r="H9" s="13">
        <v>10226.9206927788</v>
      </c>
      <c r="L9" s="12" t="s">
        <v>86</v>
      </c>
      <c r="M9">
        <v>-5.3178976281233803</v>
      </c>
      <c r="N9">
        <v>59.675942439505199</v>
      </c>
      <c r="O9">
        <v>-8.9394162508238804</v>
      </c>
      <c r="P9">
        <v>179.44916246572799</v>
      </c>
      <c r="Q9">
        <v>-0.44841891237925502</v>
      </c>
      <c r="R9">
        <v>82.770467354629602</v>
      </c>
      <c r="S9">
        <v>-8.4168028400241699</v>
      </c>
      <c r="T9">
        <v>130.50826882484401</v>
      </c>
      <c r="U9">
        <v>4.7664204649391397</v>
      </c>
      <c r="V9">
        <v>85.797490153749493</v>
      </c>
      <c r="W9">
        <v>-2.1747432678996299</v>
      </c>
      <c r="X9">
        <v>218.144238171241</v>
      </c>
      <c r="Y9">
        <v>-20.530858434311178</v>
      </c>
      <c r="Z9">
        <v>756.3455694096973</v>
      </c>
    </row>
    <row r="10" spans="1:26" x14ac:dyDescent="0.25">
      <c r="A10" s="12" t="s">
        <v>109</v>
      </c>
      <c r="B10" s="13">
        <v>6544.5368584491798</v>
      </c>
      <c r="C10" s="13">
        <v>6150.1828826503897</v>
      </c>
      <c r="D10" s="13">
        <v>6269.45881945785</v>
      </c>
      <c r="E10" s="13">
        <v>6122.5682943123202</v>
      </c>
      <c r="F10" s="13">
        <v>6523.5009907142503</v>
      </c>
      <c r="G10" s="13">
        <v>6001.3163065393601</v>
      </c>
      <c r="H10" s="13">
        <v>37611.564152123348</v>
      </c>
      <c r="L10" s="12" t="s">
        <v>101</v>
      </c>
      <c r="O10">
        <v>1.56588894277091</v>
      </c>
      <c r="P10">
        <v>91.079586755063104</v>
      </c>
      <c r="W10">
        <v>3.2375619667496198</v>
      </c>
      <c r="X10">
        <v>92.916593940689395</v>
      </c>
      <c r="Y10">
        <v>4.8034509095205298</v>
      </c>
      <c r="Z10">
        <v>183.99618069575251</v>
      </c>
    </row>
    <row r="11" spans="1:26" x14ac:dyDescent="0.25">
      <c r="A11" s="12" t="s">
        <v>125</v>
      </c>
      <c r="B11" s="13">
        <v>1688.39984573376</v>
      </c>
      <c r="C11" s="13">
        <v>1610.8261641694201</v>
      </c>
      <c r="D11" s="13">
        <v>1633.18538583033</v>
      </c>
      <c r="E11" s="13">
        <v>1604.7842497597601</v>
      </c>
      <c r="F11" s="13">
        <v>1680.17469739189</v>
      </c>
      <c r="G11" s="13">
        <v>1588.02666383821</v>
      </c>
      <c r="H11" s="13">
        <v>9805.3970067233713</v>
      </c>
      <c r="L11" s="12" t="s">
        <v>109</v>
      </c>
      <c r="M11">
        <v>0.322462857978698</v>
      </c>
      <c r="N11">
        <v>38.901257305140703</v>
      </c>
      <c r="O11">
        <v>2.48056540444014</v>
      </c>
      <c r="P11">
        <v>95.433786147259696</v>
      </c>
      <c r="Q11">
        <v>2.3991651556093498</v>
      </c>
      <c r="R11">
        <v>71.551615447484195</v>
      </c>
      <c r="S11">
        <v>-0.44900434450441001</v>
      </c>
      <c r="T11">
        <v>84.649351042784104</v>
      </c>
      <c r="U11">
        <v>4.0520590145350104</v>
      </c>
      <c r="V11">
        <v>51.386684446531198</v>
      </c>
      <c r="W11">
        <v>2.4364204344929101</v>
      </c>
      <c r="X11">
        <v>98.095869952174894</v>
      </c>
      <c r="Y11">
        <v>11.241668522551699</v>
      </c>
      <c r="Z11">
        <v>440.01856434137477</v>
      </c>
    </row>
    <row r="12" spans="1:26" x14ac:dyDescent="0.25">
      <c r="A12" s="12" t="s">
        <v>138</v>
      </c>
      <c r="B12" s="13">
        <v>1547.5179018418</v>
      </c>
      <c r="C12" s="13">
        <v>1512.1275136475199</v>
      </c>
      <c r="D12" s="13">
        <v>1497.4271531464999</v>
      </c>
      <c r="E12" s="13">
        <v>1452.9829733163899</v>
      </c>
      <c r="F12" s="13">
        <v>1561.2438133998</v>
      </c>
      <c r="G12" s="13">
        <v>1486.2466029906</v>
      </c>
      <c r="H12" s="13">
        <v>9057.5459583426091</v>
      </c>
      <c r="L12" s="12" t="s">
        <v>125</v>
      </c>
      <c r="M12">
        <v>0.48954125750331101</v>
      </c>
      <c r="O12">
        <v>1.4357126898679899</v>
      </c>
      <c r="P12">
        <v>88.390264074967305</v>
      </c>
      <c r="Q12">
        <v>1.76977908867328</v>
      </c>
      <c r="U12">
        <v>2.8771572394197</v>
      </c>
      <c r="W12">
        <v>2.4372917251114399</v>
      </c>
      <c r="X12">
        <v>94.962031558311395</v>
      </c>
      <c r="Y12">
        <v>9.009482000575721</v>
      </c>
      <c r="Z12">
        <v>183.35229563327869</v>
      </c>
    </row>
    <row r="13" spans="1:26" x14ac:dyDescent="0.25">
      <c r="A13" s="12" t="s">
        <v>153</v>
      </c>
      <c r="B13" s="13">
        <v>1931.31785704035</v>
      </c>
      <c r="C13" s="13"/>
      <c r="D13" s="13">
        <v>1838.5928269118201</v>
      </c>
      <c r="E13" s="13">
        <v>1787.16145133333</v>
      </c>
      <c r="F13" s="13">
        <v>1947.04973768073</v>
      </c>
      <c r="G13" s="13"/>
      <c r="H13" s="13">
        <v>7504.1218729662296</v>
      </c>
      <c r="L13" s="12" t="s">
        <v>138</v>
      </c>
      <c r="M13">
        <v>-0.87916515282223795</v>
      </c>
      <c r="O13">
        <v>1.7413604582736399</v>
      </c>
      <c r="P13">
        <v>85.512237616305995</v>
      </c>
      <c r="Q13">
        <v>3.0588231690474101</v>
      </c>
      <c r="U13">
        <v>4.2617539103121604</v>
      </c>
      <c r="W13">
        <v>2.1871297929893299</v>
      </c>
      <c r="X13">
        <v>86.754307282832798</v>
      </c>
      <c r="Y13">
        <v>10.369902177800302</v>
      </c>
      <c r="Z13">
        <v>172.26654489913881</v>
      </c>
    </row>
    <row r="14" spans="1:26" x14ac:dyDescent="0.25">
      <c r="A14" s="12" t="s">
        <v>165</v>
      </c>
      <c r="B14" s="13">
        <v>5572.49342258056</v>
      </c>
      <c r="C14" s="13">
        <v>4347.44455117503</v>
      </c>
      <c r="D14" s="13">
        <v>5284.3595413749999</v>
      </c>
      <c r="E14" s="13">
        <v>5226.8705778404701</v>
      </c>
      <c r="F14" s="13">
        <v>5507.1099405631503</v>
      </c>
      <c r="G14" s="13">
        <v>4259.9869529958096</v>
      </c>
      <c r="H14" s="13">
        <v>30198.264986530019</v>
      </c>
      <c r="L14" s="12" t="s">
        <v>153</v>
      </c>
      <c r="M14">
        <v>-0.80798555557795004</v>
      </c>
      <c r="Q14">
        <v>2.8778248064896501</v>
      </c>
      <c r="U14">
        <v>5.8989086208432404</v>
      </c>
      <c r="Y14">
        <v>7.9687478717549407</v>
      </c>
    </row>
    <row r="15" spans="1:26" x14ac:dyDescent="0.25">
      <c r="A15" s="12" t="s">
        <v>179</v>
      </c>
      <c r="B15" s="13"/>
      <c r="C15" s="13">
        <v>6044.0788060269097</v>
      </c>
      <c r="D15" s="13"/>
      <c r="E15" s="13"/>
      <c r="F15" s="13"/>
      <c r="G15" s="13">
        <v>5787.7444950687704</v>
      </c>
      <c r="H15" s="13">
        <v>11831.823301095679</v>
      </c>
      <c r="L15" s="12" t="s">
        <v>165</v>
      </c>
      <c r="M15">
        <v>1.1872557970164701</v>
      </c>
      <c r="N15">
        <v>77.437817841360598</v>
      </c>
      <c r="O15">
        <v>2.0530015501038599</v>
      </c>
      <c r="P15">
        <v>85.201889851027403</v>
      </c>
      <c r="Q15">
        <v>1.0998734841123099</v>
      </c>
      <c r="R15">
        <v>91.574836987164403</v>
      </c>
      <c r="S15">
        <v>20.228573735983399</v>
      </c>
      <c r="T15">
        <v>109.294655775058</v>
      </c>
      <c r="U15">
        <v>4.2152771295003602</v>
      </c>
      <c r="V15">
        <v>80.950398968627894</v>
      </c>
      <c r="W15">
        <v>2.6814297580150099</v>
      </c>
      <c r="X15">
        <v>90.925118601750199</v>
      </c>
      <c r="Y15">
        <v>31.465411454731409</v>
      </c>
      <c r="Z15">
        <v>535.3847180249885</v>
      </c>
    </row>
    <row r="16" spans="1:26" x14ac:dyDescent="0.25">
      <c r="A16" s="12" t="s">
        <v>186</v>
      </c>
      <c r="B16" s="13"/>
      <c r="C16" s="13">
        <v>4475.0963655916903</v>
      </c>
      <c r="D16" s="13"/>
      <c r="E16" s="13"/>
      <c r="F16" s="13"/>
      <c r="G16" s="13">
        <v>4352.7683447761101</v>
      </c>
      <c r="H16" s="13">
        <v>8827.8647103678013</v>
      </c>
      <c r="L16" s="12" t="s">
        <v>179</v>
      </c>
      <c r="O16">
        <v>4.4289154639866597</v>
      </c>
      <c r="P16">
        <v>80.0167542741722</v>
      </c>
      <c r="W16">
        <v>3.8823435851624502</v>
      </c>
      <c r="X16">
        <v>76.637169709692898</v>
      </c>
      <c r="Y16">
        <v>8.3112590491491094</v>
      </c>
      <c r="Z16">
        <v>156.6539239838651</v>
      </c>
    </row>
    <row r="17" spans="1:42" x14ac:dyDescent="0.25">
      <c r="A17" s="12" t="s">
        <v>205</v>
      </c>
      <c r="B17" s="13">
        <v>3502.69704413096</v>
      </c>
      <c r="C17" s="13">
        <v>3397.83335015904</v>
      </c>
      <c r="D17" s="13">
        <v>3346.6242356636099</v>
      </c>
      <c r="E17" s="13">
        <v>3293.6295746176602</v>
      </c>
      <c r="F17" s="13">
        <v>3487.0587798892602</v>
      </c>
      <c r="G17" s="13">
        <v>3336.7032495405501</v>
      </c>
      <c r="H17" s="13">
        <v>20364.546234001082</v>
      </c>
      <c r="L17" s="12" t="s">
        <v>186</v>
      </c>
      <c r="O17">
        <v>2.8103498997916998</v>
      </c>
      <c r="P17">
        <v>55.959069947377799</v>
      </c>
      <c r="W17">
        <v>2.6599242606227298</v>
      </c>
      <c r="X17">
        <v>54.546335223407397</v>
      </c>
      <c r="Y17">
        <v>5.47027416041443</v>
      </c>
      <c r="Z17">
        <v>110.5054051707852</v>
      </c>
    </row>
    <row r="18" spans="1:42" x14ac:dyDescent="0.25">
      <c r="A18" s="12" t="s">
        <v>216</v>
      </c>
      <c r="B18" s="13">
        <v>5740.1492438265304</v>
      </c>
      <c r="C18" s="13">
        <v>6473.80641713777</v>
      </c>
      <c r="D18" s="13">
        <v>5552.7027027026998</v>
      </c>
      <c r="E18" s="13">
        <v>5497.0311353705501</v>
      </c>
      <c r="F18" s="13">
        <v>5675.6756756756804</v>
      </c>
      <c r="G18" s="13">
        <v>6130.51459408545</v>
      </c>
      <c r="H18" s="13">
        <v>35069.879768798681</v>
      </c>
      <c r="L18" s="12" t="s">
        <v>205</v>
      </c>
      <c r="M18">
        <v>0.44846574803643802</v>
      </c>
      <c r="N18">
        <v>31.635946268648599</v>
      </c>
      <c r="O18">
        <v>1.83205086118798</v>
      </c>
      <c r="P18">
        <v>74.199753526757505</v>
      </c>
      <c r="Q18">
        <v>1.60900489400373</v>
      </c>
      <c r="R18">
        <v>44.656476854343403</v>
      </c>
      <c r="S18">
        <v>-3.0667712275090402</v>
      </c>
      <c r="T18">
        <v>60.500418469627803</v>
      </c>
      <c r="U18">
        <v>4.1963045246935797</v>
      </c>
      <c r="V18">
        <v>42.891520910395002</v>
      </c>
      <c r="W18">
        <v>2.1140434725571402</v>
      </c>
      <c r="X18">
        <v>86.293616567987797</v>
      </c>
      <c r="Y18">
        <v>7.1330982729698285</v>
      </c>
      <c r="Z18">
        <v>340.1777325977601</v>
      </c>
    </row>
    <row r="19" spans="1:42" x14ac:dyDescent="0.25">
      <c r="A19" s="12" t="s">
        <v>192</v>
      </c>
      <c r="B19" s="13">
        <v>4771.9236733382304</v>
      </c>
      <c r="C19" s="13">
        <v>4422.8021562329404</v>
      </c>
      <c r="D19" s="13">
        <v>4394.4053790468497</v>
      </c>
      <c r="E19" s="13">
        <v>4340.1077806622197</v>
      </c>
      <c r="F19" s="13">
        <v>4671.3133143490404</v>
      </c>
      <c r="G19" s="13">
        <v>4316.4129177333898</v>
      </c>
      <c r="H19" s="13">
        <v>26916.965221362669</v>
      </c>
      <c r="L19" s="12" t="s">
        <v>216</v>
      </c>
      <c r="M19">
        <v>1.1359628674198701</v>
      </c>
      <c r="N19">
        <v>18.8650612178144</v>
      </c>
      <c r="O19">
        <v>5.5997227929858502</v>
      </c>
      <c r="P19">
        <v>71.654927016100103</v>
      </c>
      <c r="Q19">
        <v>1.0127569948428601</v>
      </c>
      <c r="R19">
        <v>27.041398105119299</v>
      </c>
      <c r="S19">
        <v>-15.088113836420201</v>
      </c>
      <c r="T19">
        <v>37.1659409328118</v>
      </c>
      <c r="U19">
        <v>2.21465076660989</v>
      </c>
      <c r="V19">
        <v>24.341672814858601</v>
      </c>
      <c r="W19">
        <v>2.65470568328365</v>
      </c>
      <c r="X19">
        <v>68.148552518354506</v>
      </c>
      <c r="Y19">
        <v>-2.47031473127808</v>
      </c>
      <c r="Z19">
        <v>247.21755260505873</v>
      </c>
    </row>
    <row r="20" spans="1:42" x14ac:dyDescent="0.25">
      <c r="A20" s="12" t="s">
        <v>230</v>
      </c>
      <c r="B20" s="13">
        <v>6655.6615288069197</v>
      </c>
      <c r="C20" s="13"/>
      <c r="D20" s="13">
        <v>6440.4410828017999</v>
      </c>
      <c r="E20" s="13">
        <v>6227.0407199211704</v>
      </c>
      <c r="F20" s="13">
        <v>6657.0025353562396</v>
      </c>
      <c r="G20" s="13"/>
      <c r="H20" s="13">
        <v>25980.145866886131</v>
      </c>
      <c r="L20" s="12" t="s">
        <v>192</v>
      </c>
      <c r="M20">
        <v>2.1537917116401202</v>
      </c>
      <c r="N20">
        <v>43.288041713136003</v>
      </c>
      <c r="O20">
        <v>2.46476045103263</v>
      </c>
      <c r="P20">
        <v>95.278566782214995</v>
      </c>
      <c r="Q20">
        <v>1.25106566769033</v>
      </c>
      <c r="R20">
        <v>59.685989338413698</v>
      </c>
      <c r="S20">
        <v>-1.8697281191784501</v>
      </c>
      <c r="T20">
        <v>73.132752428344801</v>
      </c>
      <c r="U20">
        <v>6.3013743935079196</v>
      </c>
      <c r="V20">
        <v>56.107343517747999</v>
      </c>
      <c r="W20">
        <v>2.9195945241342001</v>
      </c>
      <c r="X20">
        <v>110.916580663516</v>
      </c>
      <c r="Y20">
        <v>13.22085862882675</v>
      </c>
      <c r="Z20">
        <v>438.40927444337353</v>
      </c>
    </row>
    <row r="21" spans="1:42" x14ac:dyDescent="0.25">
      <c r="A21" s="12" t="s">
        <v>237</v>
      </c>
      <c r="B21" s="13"/>
      <c r="C21" s="13">
        <v>4908.4226209077997</v>
      </c>
      <c r="D21" s="13"/>
      <c r="E21" s="13"/>
      <c r="F21" s="13"/>
      <c r="G21" s="13">
        <v>4766.5638775357702</v>
      </c>
      <c r="H21" s="13">
        <v>9674.9864984435699</v>
      </c>
      <c r="L21" s="12" t="s">
        <v>230</v>
      </c>
      <c r="M21">
        <v>-2.0144299813636399E-2</v>
      </c>
      <c r="Q21">
        <v>3.4269948195124802</v>
      </c>
      <c r="U21">
        <v>3.3625251713385098</v>
      </c>
      <c r="Y21">
        <v>6.7693756910373537</v>
      </c>
    </row>
    <row r="22" spans="1:42" x14ac:dyDescent="0.25">
      <c r="A22" s="12" t="s">
        <v>242</v>
      </c>
      <c r="B22" s="13">
        <v>6657.7427764140602</v>
      </c>
      <c r="C22" s="13"/>
      <c r="D22" s="13">
        <v>6160.0213093243201</v>
      </c>
      <c r="E22" s="13">
        <v>6131.9801153648596</v>
      </c>
      <c r="F22" s="13">
        <v>6493.7843284955397</v>
      </c>
      <c r="G22" s="13"/>
      <c r="H22" s="13">
        <v>25443.528529598778</v>
      </c>
      <c r="L22" s="12" t="s">
        <v>237</v>
      </c>
      <c r="O22">
        <v>2.9761217308047598</v>
      </c>
      <c r="P22">
        <v>71.385440060958302</v>
      </c>
      <c r="W22">
        <v>2.6846165328660101</v>
      </c>
      <c r="X22">
        <v>73.271968281292004</v>
      </c>
      <c r="Y22">
        <v>5.6607382636707699</v>
      </c>
      <c r="Z22">
        <v>144.65740834225031</v>
      </c>
    </row>
    <row r="23" spans="1:42" x14ac:dyDescent="0.25">
      <c r="A23" s="12" t="s">
        <v>266</v>
      </c>
      <c r="B23" s="13">
        <v>1345.0978505149001</v>
      </c>
      <c r="C23" s="13">
        <v>1184.7661828727901</v>
      </c>
      <c r="D23" s="13">
        <v>1277.24707039035</v>
      </c>
      <c r="E23" s="13">
        <v>1267.6348809931201</v>
      </c>
      <c r="F23" s="13">
        <v>1362.95931475153</v>
      </c>
      <c r="G23" s="13">
        <v>1205.3885873745801</v>
      </c>
      <c r="H23" s="13">
        <v>7643.0938868972698</v>
      </c>
      <c r="L23" s="12" t="s">
        <v>242</v>
      </c>
      <c r="M23">
        <v>2.52485206813915</v>
      </c>
      <c r="Q23">
        <v>0.45729427414805102</v>
      </c>
      <c r="U23">
        <v>5.4182120874485502</v>
      </c>
      <c r="Y23">
        <v>8.4003584297357516</v>
      </c>
    </row>
    <row r="24" spans="1:42" x14ac:dyDescent="0.25">
      <c r="A24" s="12" t="s">
        <v>251</v>
      </c>
      <c r="B24" s="13">
        <v>1422.33984770236</v>
      </c>
      <c r="C24" s="13">
        <v>1296.9267315173299</v>
      </c>
      <c r="D24" s="13">
        <v>1378.1547063621399</v>
      </c>
      <c r="E24" s="13">
        <v>1358.95841842142</v>
      </c>
      <c r="F24" s="13">
        <v>1456.65126496469</v>
      </c>
      <c r="G24" s="13">
        <v>1311.0286836146099</v>
      </c>
      <c r="H24" s="13">
        <v>8224.0596525825495</v>
      </c>
      <c r="L24" s="12" t="s">
        <v>266</v>
      </c>
      <c r="M24">
        <v>-1.3104913729495</v>
      </c>
      <c r="N24">
        <v>57.910810729607803</v>
      </c>
      <c r="O24">
        <v>-1.7108511493960401</v>
      </c>
      <c r="P24">
        <v>108.32160907839101</v>
      </c>
      <c r="Q24">
        <v>0.75827744576593703</v>
      </c>
      <c r="R24">
        <v>76.549717781782505</v>
      </c>
      <c r="S24">
        <v>6.9945191986648503</v>
      </c>
      <c r="T24">
        <v>111.030781061149</v>
      </c>
      <c r="U24">
        <v>6.7107019736586597</v>
      </c>
      <c r="V24">
        <v>81.753894792822393</v>
      </c>
      <c r="W24">
        <v>0.61278117752677597</v>
      </c>
      <c r="X24">
        <v>119.580366763863</v>
      </c>
      <c r="Y24">
        <v>12.054937273270683</v>
      </c>
      <c r="Z24">
        <v>555.14718020761575</v>
      </c>
    </row>
    <row r="25" spans="1:42" x14ac:dyDescent="0.25">
      <c r="A25" s="12" t="s">
        <v>280</v>
      </c>
      <c r="B25" s="13">
        <v>4970.65884257568</v>
      </c>
      <c r="C25" s="13"/>
      <c r="D25" s="13">
        <v>4371.8969465991004</v>
      </c>
      <c r="E25" s="13">
        <v>4206.7995489414398</v>
      </c>
      <c r="F25" s="13">
        <v>4600.2308180510399</v>
      </c>
      <c r="G25" s="13"/>
      <c r="H25" s="13">
        <v>18149.586156167261</v>
      </c>
      <c r="L25" s="12" t="s">
        <v>251</v>
      </c>
      <c r="M25">
        <v>-2.3554997745570501</v>
      </c>
      <c r="N25">
        <v>56.3412975505668</v>
      </c>
      <c r="O25">
        <v>-1.0756402414020301</v>
      </c>
      <c r="P25">
        <v>116.605516471717</v>
      </c>
      <c r="Q25">
        <v>1.4125736064111301</v>
      </c>
      <c r="R25">
        <v>82.884880253124095</v>
      </c>
      <c r="S25">
        <v>4.78297542926863</v>
      </c>
      <c r="T25">
        <v>117.707603174382</v>
      </c>
      <c r="U25">
        <v>5.6957726327946796</v>
      </c>
      <c r="V25">
        <v>81.172866710283998</v>
      </c>
      <c r="W25">
        <v>3.53101101385794</v>
      </c>
      <c r="X25">
        <v>125.614658373441</v>
      </c>
      <c r="Y25">
        <v>11.9911926663733</v>
      </c>
      <c r="Z25">
        <v>580.32682253351493</v>
      </c>
      <c r="AD25" t="s">
        <v>702</v>
      </c>
    </row>
    <row r="26" spans="1:42" x14ac:dyDescent="0.25">
      <c r="A26" s="12" t="s">
        <v>289</v>
      </c>
      <c r="B26" s="13">
        <v>6708.4527520461797</v>
      </c>
      <c r="C26" s="13"/>
      <c r="D26" s="13">
        <v>6298.8933956085602</v>
      </c>
      <c r="E26" s="13">
        <v>6202.3575047263503</v>
      </c>
      <c r="F26" s="13">
        <v>6892.4622955468003</v>
      </c>
      <c r="G26" s="13"/>
      <c r="H26" s="13">
        <v>26102.16594792789</v>
      </c>
      <c r="L26" s="12" t="s">
        <v>280</v>
      </c>
      <c r="M26">
        <v>8.05237909087319</v>
      </c>
      <c r="Q26">
        <v>3.9245368298853598</v>
      </c>
      <c r="U26">
        <v>5.2227642655108104</v>
      </c>
      <c r="Y26">
        <v>17.199680186269362</v>
      </c>
      <c r="AD26" s="11" t="s">
        <v>691</v>
      </c>
      <c r="AE26" t="s">
        <v>701</v>
      </c>
      <c r="AH26" t="s">
        <v>704</v>
      </c>
    </row>
    <row r="27" spans="1:42" x14ac:dyDescent="0.25">
      <c r="A27" s="12" t="s">
        <v>298</v>
      </c>
      <c r="B27" s="13">
        <v>3250.3191343826402</v>
      </c>
      <c r="C27" s="13">
        <v>3328.1693203786999</v>
      </c>
      <c r="D27" s="13">
        <v>3039.8294761126099</v>
      </c>
      <c r="E27" s="13">
        <v>2939.7346322297299</v>
      </c>
      <c r="F27" s="13">
        <v>3218.8178332615498</v>
      </c>
      <c r="G27" s="13">
        <v>3165.3812084810802</v>
      </c>
      <c r="H27" s="13">
        <v>18942.251604846311</v>
      </c>
      <c r="L27" s="12" t="s">
        <v>289</v>
      </c>
      <c r="M27">
        <v>-2.6697214378598502</v>
      </c>
      <c r="Q27">
        <v>1.5564386736599001</v>
      </c>
      <c r="U27">
        <v>9.4233838018605098</v>
      </c>
      <c r="Y27">
        <v>8.3101010376605604</v>
      </c>
      <c r="AD27" s="12" t="s">
        <v>340</v>
      </c>
      <c r="AE27">
        <v>157.51877895100398</v>
      </c>
      <c r="AH27" s="11" t="s">
        <v>691</v>
      </c>
      <c r="AI27" t="s">
        <v>703</v>
      </c>
      <c r="AO27" t="s">
        <v>706</v>
      </c>
      <c r="AP27" t="s">
        <v>706</v>
      </c>
    </row>
    <row r="28" spans="1:42" x14ac:dyDescent="0.25">
      <c r="A28" s="12" t="s">
        <v>311</v>
      </c>
      <c r="B28" s="13">
        <v>2545.7164478089499</v>
      </c>
      <c r="C28" s="13"/>
      <c r="D28" s="13">
        <v>2392.4710545135099</v>
      </c>
      <c r="E28" s="13">
        <v>2387.7568033521402</v>
      </c>
      <c r="F28" s="13">
        <v>2487.6765241773001</v>
      </c>
      <c r="G28" s="13"/>
      <c r="H28" s="13">
        <v>9813.6208298519014</v>
      </c>
      <c r="L28" s="12" t="s">
        <v>298</v>
      </c>
      <c r="M28">
        <v>0.97866057518288296</v>
      </c>
      <c r="O28">
        <v>5.1427648417655796</v>
      </c>
      <c r="P28">
        <v>84.186820848017703</v>
      </c>
      <c r="Q28">
        <v>3.4048938562513298</v>
      </c>
      <c r="U28">
        <v>5.8881051899607098</v>
      </c>
      <c r="W28">
        <v>8.0734424788985795</v>
      </c>
      <c r="X28">
        <v>82.026853287189496</v>
      </c>
      <c r="Y28">
        <v>23.487866942059082</v>
      </c>
      <c r="Z28">
        <v>166.21367413520721</v>
      </c>
      <c r="AD28" s="12" t="s">
        <v>68</v>
      </c>
      <c r="AE28">
        <v>143.28972676771997</v>
      </c>
      <c r="AH28" s="12" t="s">
        <v>37</v>
      </c>
      <c r="AI28">
        <v>25</v>
      </c>
      <c r="AO28" s="11" t="s">
        <v>691</v>
      </c>
      <c r="AP28" t="s">
        <v>705</v>
      </c>
    </row>
    <row r="29" spans="1:42" x14ac:dyDescent="0.25">
      <c r="A29" s="12" t="s">
        <v>321</v>
      </c>
      <c r="B29" s="13"/>
      <c r="C29" s="13">
        <v>4014.2349042126002</v>
      </c>
      <c r="D29" s="13"/>
      <c r="E29" s="13"/>
      <c r="F29" s="13"/>
      <c r="G29" s="13">
        <v>3875.65894324077</v>
      </c>
      <c r="H29" s="13">
        <v>7889.8938474533697</v>
      </c>
      <c r="L29" s="12" t="s">
        <v>311</v>
      </c>
      <c r="M29">
        <v>2.3330976944780799</v>
      </c>
      <c r="Q29">
        <v>0.19743430967339801</v>
      </c>
      <c r="U29">
        <v>3.9793781197132798</v>
      </c>
      <c r="Y29">
        <v>6.5099101238647581</v>
      </c>
      <c r="AD29" s="12" t="s">
        <v>436</v>
      </c>
      <c r="AE29">
        <v>133.72148269444617</v>
      </c>
      <c r="AH29" s="12" t="s">
        <v>116</v>
      </c>
      <c r="AI29">
        <v>22</v>
      </c>
      <c r="AO29" s="12" t="s">
        <v>91</v>
      </c>
      <c r="AP29">
        <v>10</v>
      </c>
    </row>
    <row r="30" spans="1:42" x14ac:dyDescent="0.25">
      <c r="A30" s="12" t="s">
        <v>326</v>
      </c>
      <c r="B30" s="13">
        <v>1948.6077123661701</v>
      </c>
      <c r="C30" s="13">
        <v>1818.2876324441499</v>
      </c>
      <c r="D30" s="13">
        <v>1756.40726696976</v>
      </c>
      <c r="E30" s="13">
        <v>1790.91087652799</v>
      </c>
      <c r="F30" s="13">
        <v>1881.7562755561701</v>
      </c>
      <c r="G30" s="13">
        <v>1778.9604773569499</v>
      </c>
      <c r="H30" s="13">
        <v>10974.930241221189</v>
      </c>
      <c r="L30" s="12" t="s">
        <v>321</v>
      </c>
      <c r="O30">
        <v>3.5755458104359699</v>
      </c>
      <c r="P30">
        <v>74.231668759770201</v>
      </c>
      <c r="W30">
        <v>4.5527695982480996</v>
      </c>
      <c r="X30">
        <v>74.344787229682396</v>
      </c>
      <c r="Y30">
        <v>8.1283154086840703</v>
      </c>
      <c r="Z30">
        <v>148.5764559894526</v>
      </c>
      <c r="AD30" s="12" t="s">
        <v>50</v>
      </c>
      <c r="AE30">
        <v>132.097369745983</v>
      </c>
      <c r="AH30" s="12" t="s">
        <v>173</v>
      </c>
      <c r="AI30">
        <v>19</v>
      </c>
      <c r="AO30" s="12" t="s">
        <v>135</v>
      </c>
      <c r="AP30">
        <v>10</v>
      </c>
    </row>
    <row r="31" spans="1:42" x14ac:dyDescent="0.25">
      <c r="A31" s="12" t="s">
        <v>340</v>
      </c>
      <c r="B31" s="13">
        <v>2517.8856093511199</v>
      </c>
      <c r="C31" s="13">
        <v>2512.32651705328</v>
      </c>
      <c r="D31" s="13">
        <v>2564.95182040297</v>
      </c>
      <c r="E31" s="13">
        <v>2508.1549602219002</v>
      </c>
      <c r="F31" s="13">
        <v>2671.7289628642802</v>
      </c>
      <c r="G31" s="13">
        <v>2485.13886536679</v>
      </c>
      <c r="H31" s="13">
        <v>15260.18673526034</v>
      </c>
      <c r="L31" s="12" t="s">
        <v>326</v>
      </c>
      <c r="M31">
        <v>3.5526086814959998</v>
      </c>
      <c r="N31">
        <v>37.850555950486097</v>
      </c>
      <c r="O31">
        <v>2.21068177667639</v>
      </c>
      <c r="P31">
        <v>80.679152957326593</v>
      </c>
      <c r="Q31">
        <v>-1.9265955671185</v>
      </c>
      <c r="R31">
        <v>55.347701705399899</v>
      </c>
      <c r="S31">
        <v>-1.5056339507387799</v>
      </c>
      <c r="T31">
        <v>70.276157160046395</v>
      </c>
      <c r="U31">
        <v>7.1366710297588503</v>
      </c>
      <c r="V31">
        <v>50.0064116084463</v>
      </c>
      <c r="W31">
        <v>2.6237522429984601</v>
      </c>
      <c r="X31">
        <v>103.86148204322799</v>
      </c>
      <c r="Y31">
        <v>12.09148421307242</v>
      </c>
      <c r="Z31">
        <v>398.02146142493325</v>
      </c>
      <c r="AD31" s="12" t="s">
        <v>86</v>
      </c>
      <c r="AE31">
        <v>126.05759490161624</v>
      </c>
      <c r="AH31" s="12" t="s">
        <v>80</v>
      </c>
      <c r="AI31">
        <v>19</v>
      </c>
      <c r="AO31" s="12" t="s">
        <v>189</v>
      </c>
      <c r="AP31">
        <v>11</v>
      </c>
    </row>
    <row r="32" spans="1:42" x14ac:dyDescent="0.25">
      <c r="A32" s="12" t="s">
        <v>351</v>
      </c>
      <c r="B32" s="13">
        <v>5417.3963473999602</v>
      </c>
      <c r="C32" s="13">
        <v>4287.6540179701396</v>
      </c>
      <c r="D32" s="13">
        <v>5233.1514442468497</v>
      </c>
      <c r="E32" s="13">
        <v>5117.8059351929396</v>
      </c>
      <c r="F32" s="13">
        <v>5482.6327859487901</v>
      </c>
      <c r="G32" s="13">
        <v>4203.7597581405698</v>
      </c>
      <c r="H32" s="13">
        <v>29742.400288899247</v>
      </c>
      <c r="L32" s="12" t="s">
        <v>340</v>
      </c>
      <c r="M32">
        <v>-5.7581946242118898</v>
      </c>
      <c r="O32">
        <v>1.094009355589</v>
      </c>
      <c r="P32">
        <v>150.706001189847</v>
      </c>
      <c r="Q32">
        <v>2.2644876844467698</v>
      </c>
      <c r="U32">
        <v>4.1629297522062396</v>
      </c>
      <c r="W32">
        <v>2.3260487606688698</v>
      </c>
      <c r="X32">
        <v>164.33155671216099</v>
      </c>
      <c r="Y32">
        <v>4.0892809286989893</v>
      </c>
      <c r="Z32">
        <v>315.03755790200796</v>
      </c>
      <c r="AD32" s="12" t="s">
        <v>476</v>
      </c>
      <c r="AE32">
        <v>117.947724720349</v>
      </c>
      <c r="AH32" s="12" t="s">
        <v>27</v>
      </c>
      <c r="AI32">
        <v>15</v>
      </c>
      <c r="AO32" s="12" t="s">
        <v>62</v>
      </c>
      <c r="AP32">
        <v>13</v>
      </c>
    </row>
    <row r="33" spans="1:42" x14ac:dyDescent="0.25">
      <c r="A33" s="12" t="s">
        <v>365</v>
      </c>
      <c r="B33" s="13">
        <v>1239.609660498</v>
      </c>
      <c r="C33" s="13">
        <v>1151.13471287571</v>
      </c>
      <c r="D33" s="13">
        <v>1169.3210112602201</v>
      </c>
      <c r="E33" s="13">
        <v>1168.3379724972699</v>
      </c>
      <c r="F33" s="13">
        <v>1278.7595198008501</v>
      </c>
      <c r="G33" s="13">
        <v>1156.9086378729901</v>
      </c>
      <c r="H33" s="13">
        <v>7164.0715148050404</v>
      </c>
      <c r="L33" s="12" t="s">
        <v>351</v>
      </c>
      <c r="M33">
        <v>-1.18987430119376</v>
      </c>
      <c r="N33">
        <v>67.982054695263798</v>
      </c>
      <c r="O33">
        <v>1.9956958688495601</v>
      </c>
      <c r="P33">
        <v>89.201111703285605</v>
      </c>
      <c r="Q33">
        <v>2.2538077940924302</v>
      </c>
      <c r="R33">
        <v>92.978980969688394</v>
      </c>
      <c r="S33">
        <v>19.3614483291684</v>
      </c>
      <c r="T33">
        <v>108.21326052034399</v>
      </c>
      <c r="U33">
        <v>4.7673250881399403</v>
      </c>
      <c r="V33">
        <v>84.469121996444301</v>
      </c>
      <c r="W33">
        <v>1.63478962415296</v>
      </c>
      <c r="X33">
        <v>90.642889945231104</v>
      </c>
      <c r="Y33">
        <v>28.823192403209532</v>
      </c>
      <c r="Z33">
        <v>533.48741983025718</v>
      </c>
      <c r="AD33" s="12" t="s">
        <v>421</v>
      </c>
      <c r="AE33">
        <v>116.20339890279949</v>
      </c>
      <c r="AH33" s="12" t="s">
        <v>133</v>
      </c>
      <c r="AI33">
        <v>14</v>
      </c>
      <c r="AO33" s="12" t="s">
        <v>59</v>
      </c>
      <c r="AP33">
        <v>13</v>
      </c>
    </row>
    <row r="34" spans="1:42" x14ac:dyDescent="0.25">
      <c r="A34" s="12" t="s">
        <v>379</v>
      </c>
      <c r="B34" s="13"/>
      <c r="C34" s="13">
        <v>1160.21514057117</v>
      </c>
      <c r="D34" s="13"/>
      <c r="E34" s="13"/>
      <c r="F34" s="13"/>
      <c r="G34" s="13">
        <v>1163.2443098946301</v>
      </c>
      <c r="H34" s="13">
        <v>2323.4594504657998</v>
      </c>
      <c r="L34" s="12" t="s">
        <v>365</v>
      </c>
      <c r="M34">
        <v>-3.0615497829451801</v>
      </c>
      <c r="N34">
        <v>55.415650427266002</v>
      </c>
      <c r="O34">
        <v>-0.4990821926865</v>
      </c>
      <c r="P34">
        <v>99.2370281786866</v>
      </c>
      <c r="Q34">
        <v>8.4139930918228301E-2</v>
      </c>
      <c r="R34">
        <v>60.301365147552801</v>
      </c>
      <c r="S34">
        <v>1.4944610243380601</v>
      </c>
      <c r="T34">
        <v>84.306003787734596</v>
      </c>
      <c r="U34">
        <v>9.3591500953778208</v>
      </c>
      <c r="V34">
        <v>68.733508344634402</v>
      </c>
      <c r="W34">
        <v>7.07733746914991</v>
      </c>
      <c r="X34">
        <v>107.58070724044001</v>
      </c>
      <c r="Y34">
        <v>14.45445654415234</v>
      </c>
      <c r="Z34">
        <v>475.57426312631441</v>
      </c>
      <c r="AD34" s="12" t="s">
        <v>481</v>
      </c>
      <c r="AE34">
        <v>116.14750167074</v>
      </c>
      <c r="AH34" s="12" t="s">
        <v>107</v>
      </c>
      <c r="AI34">
        <v>11</v>
      </c>
      <c r="AO34" s="12" t="s">
        <v>29</v>
      </c>
      <c r="AP34">
        <v>15</v>
      </c>
    </row>
    <row r="35" spans="1:42" x14ac:dyDescent="0.25">
      <c r="A35" s="12" t="s">
        <v>383</v>
      </c>
      <c r="B35" s="13"/>
      <c r="C35" s="13">
        <v>4166.67611915425</v>
      </c>
      <c r="D35" s="13"/>
      <c r="E35" s="13"/>
      <c r="F35" s="13"/>
      <c r="G35" s="13">
        <v>4136.4786973755999</v>
      </c>
      <c r="H35" s="13">
        <v>8303.15481652985</v>
      </c>
      <c r="L35" s="12" t="s">
        <v>379</v>
      </c>
      <c r="O35">
        <v>-0.26040697536166602</v>
      </c>
      <c r="P35">
        <v>96.728586074265905</v>
      </c>
      <c r="W35">
        <v>7.6166339218340102</v>
      </c>
      <c r="X35">
        <v>108.02618078262999</v>
      </c>
      <c r="Y35">
        <v>7.3562269464723444</v>
      </c>
      <c r="Z35">
        <v>204.75476685689591</v>
      </c>
      <c r="AD35" s="12" t="s">
        <v>616</v>
      </c>
      <c r="AE35">
        <v>114.9858518921007</v>
      </c>
      <c r="AH35" s="12" t="s">
        <v>318</v>
      </c>
      <c r="AI35">
        <v>11</v>
      </c>
      <c r="AO35" s="12" t="s">
        <v>118</v>
      </c>
      <c r="AP35">
        <v>16</v>
      </c>
    </row>
    <row r="36" spans="1:42" x14ac:dyDescent="0.25">
      <c r="A36" s="12" t="s">
        <v>388</v>
      </c>
      <c r="B36" s="13"/>
      <c r="C36" s="13">
        <v>5632.3370938083499</v>
      </c>
      <c r="D36" s="13"/>
      <c r="E36" s="13"/>
      <c r="F36" s="13"/>
      <c r="G36" s="13">
        <v>5345.9909023037198</v>
      </c>
      <c r="H36" s="13">
        <v>10978.32799611207</v>
      </c>
      <c r="L36" s="12" t="s">
        <v>383</v>
      </c>
      <c r="O36">
        <v>0.73002725235381405</v>
      </c>
      <c r="P36">
        <v>88.147628228574803</v>
      </c>
      <c r="W36">
        <v>2.0263479902927801</v>
      </c>
      <c r="X36">
        <v>94.108678158109498</v>
      </c>
      <c r="Y36">
        <v>2.7563752426465942</v>
      </c>
      <c r="Z36">
        <v>182.25630638668429</v>
      </c>
      <c r="AD36" s="12" t="s">
        <v>515</v>
      </c>
      <c r="AE36">
        <v>105.83781937288173</v>
      </c>
      <c r="AH36" s="12" t="s">
        <v>62</v>
      </c>
      <c r="AI36">
        <v>10</v>
      </c>
      <c r="AO36" s="12" t="s">
        <v>34</v>
      </c>
      <c r="AP36">
        <v>17</v>
      </c>
    </row>
    <row r="37" spans="1:42" x14ac:dyDescent="0.25">
      <c r="A37" s="12" t="s">
        <v>393</v>
      </c>
      <c r="B37" s="13">
        <v>1503.5644918098701</v>
      </c>
      <c r="C37" s="13">
        <v>2057.8108721538001</v>
      </c>
      <c r="D37" s="13">
        <v>1372.0419025966901</v>
      </c>
      <c r="E37" s="13">
        <v>1367.6215629373401</v>
      </c>
      <c r="F37" s="13">
        <v>1434.8498267248599</v>
      </c>
      <c r="G37" s="13">
        <v>1878.0015100273999</v>
      </c>
      <c r="H37" s="13">
        <v>9613.8901662499593</v>
      </c>
      <c r="L37" s="12" t="s">
        <v>388</v>
      </c>
      <c r="O37">
        <v>5.3562790647705603</v>
      </c>
      <c r="P37">
        <v>79.516485246246603</v>
      </c>
      <c r="W37">
        <v>4.0093829569556698</v>
      </c>
      <c r="X37">
        <v>79.233988189487107</v>
      </c>
      <c r="Y37">
        <v>9.3656620217262301</v>
      </c>
      <c r="Z37">
        <v>158.75047343573371</v>
      </c>
      <c r="AD37" s="12" t="s">
        <v>379</v>
      </c>
      <c r="AE37">
        <v>102.37738342844796</v>
      </c>
      <c r="AH37" s="12" t="s">
        <v>152</v>
      </c>
      <c r="AI37">
        <v>10</v>
      </c>
      <c r="AO37" s="12" t="s">
        <v>263</v>
      </c>
      <c r="AP37">
        <v>18</v>
      </c>
    </row>
    <row r="38" spans="1:42" x14ac:dyDescent="0.25">
      <c r="A38" s="12" t="s">
        <v>409</v>
      </c>
      <c r="B38" s="13">
        <v>2516.3571664481101</v>
      </c>
      <c r="C38" s="13">
        <v>2582.3479986950401</v>
      </c>
      <c r="D38" s="13">
        <v>2384.1511140866301</v>
      </c>
      <c r="E38" s="13">
        <v>2329.5428046950301</v>
      </c>
      <c r="F38" s="13">
        <v>2511.7729143043798</v>
      </c>
      <c r="G38" s="13">
        <v>2466.7871367873599</v>
      </c>
      <c r="H38" s="13">
        <v>14790.95913501655</v>
      </c>
      <c r="L38" s="12" t="s">
        <v>393</v>
      </c>
      <c r="M38">
        <v>4.7889795716014998</v>
      </c>
      <c r="N38">
        <v>47.577102236939602</v>
      </c>
      <c r="O38">
        <v>9.5745057267699796</v>
      </c>
      <c r="P38">
        <v>111.739464137913</v>
      </c>
      <c r="Q38">
        <v>0.32321365640453398</v>
      </c>
      <c r="R38">
        <v>49.850061160851297</v>
      </c>
      <c r="S38">
        <v>-33.539977777164601</v>
      </c>
      <c r="T38">
        <v>55.200318331596101</v>
      </c>
      <c r="U38">
        <v>4.5776972269802298</v>
      </c>
      <c r="V38">
        <v>52.827850548312298</v>
      </c>
      <c r="W38">
        <v>50.057211841402399</v>
      </c>
      <c r="X38">
        <v>174.65060629830501</v>
      </c>
      <c r="Y38">
        <v>35.781630245994037</v>
      </c>
      <c r="Z38">
        <v>491.84540271391734</v>
      </c>
      <c r="AD38" s="12" t="s">
        <v>1</v>
      </c>
      <c r="AE38">
        <v>99.360310375315905</v>
      </c>
      <c r="AH38" s="12" t="s">
        <v>692</v>
      </c>
      <c r="AI38">
        <v>156</v>
      </c>
      <c r="AO38" s="12" t="s">
        <v>39</v>
      </c>
      <c r="AP38">
        <v>21</v>
      </c>
    </row>
    <row r="39" spans="1:42" x14ac:dyDescent="0.25">
      <c r="A39" s="12" t="s">
        <v>421</v>
      </c>
      <c r="B39" s="13">
        <v>2057.3966196227698</v>
      </c>
      <c r="C39" s="13">
        <v>1533.6809681028701</v>
      </c>
      <c r="D39" s="13">
        <v>1914.4990136459401</v>
      </c>
      <c r="E39" s="13">
        <v>1876.0258662337501</v>
      </c>
      <c r="F39" s="13">
        <v>2002.5841717773301</v>
      </c>
      <c r="G39" s="13">
        <v>1540.046406979</v>
      </c>
      <c r="H39" s="13">
        <v>10924.23304636166</v>
      </c>
      <c r="L39" s="12" t="s">
        <v>409</v>
      </c>
      <c r="M39">
        <v>0.18251061302656399</v>
      </c>
      <c r="N39">
        <v>53.994734703865099</v>
      </c>
      <c r="O39">
        <v>4.68467101130509</v>
      </c>
      <c r="P39">
        <v>81.176250049101995</v>
      </c>
      <c r="Q39">
        <v>2.3441642403621898</v>
      </c>
      <c r="R39">
        <v>52.687358173762</v>
      </c>
      <c r="S39">
        <v>-9.7897415115142703</v>
      </c>
      <c r="T39">
        <v>59.916689594158299</v>
      </c>
      <c r="U39">
        <v>5.35292412732176</v>
      </c>
      <c r="V39">
        <v>60.404328926877703</v>
      </c>
      <c r="W39">
        <v>14.8952739623161</v>
      </c>
      <c r="X39">
        <v>80.036481660082202</v>
      </c>
      <c r="Y39">
        <v>17.669802442817435</v>
      </c>
      <c r="Z39">
        <v>388.21584310784726</v>
      </c>
      <c r="AD39" s="12" t="s">
        <v>251</v>
      </c>
      <c r="AE39">
        <v>96.72113708891915</v>
      </c>
      <c r="AO39" s="12" t="s">
        <v>74</v>
      </c>
      <c r="AP39">
        <v>29</v>
      </c>
    </row>
    <row r="40" spans="1:42" x14ac:dyDescent="0.25">
      <c r="A40" s="12" t="s">
        <v>436</v>
      </c>
      <c r="B40" s="13">
        <v>2231.8082619367001</v>
      </c>
      <c r="C40" s="13">
        <v>1550.1513842884699</v>
      </c>
      <c r="D40" s="13">
        <v>2127.6712684252502</v>
      </c>
      <c r="E40" s="13">
        <v>2119.0689292685602</v>
      </c>
      <c r="F40" s="13">
        <v>2214.5652797776602</v>
      </c>
      <c r="G40" s="13">
        <v>1566.20426620695</v>
      </c>
      <c r="H40" s="13">
        <v>11809.469389903592</v>
      </c>
      <c r="L40" s="12" t="s">
        <v>421</v>
      </c>
      <c r="M40">
        <v>2.7370858422791202</v>
      </c>
      <c r="N40">
        <v>103.89395843908601</v>
      </c>
      <c r="O40">
        <v>-0.41332773137807299</v>
      </c>
      <c r="P40">
        <v>102.33498853293101</v>
      </c>
      <c r="Q40">
        <v>2.0507791552699701</v>
      </c>
      <c r="R40">
        <v>126.16629240774201</v>
      </c>
      <c r="S40">
        <v>22.321780425713399</v>
      </c>
      <c r="T40">
        <v>131.41757531990501</v>
      </c>
      <c r="U40">
        <v>4.60095082335084</v>
      </c>
      <c r="V40">
        <v>111.38820833553299</v>
      </c>
      <c r="W40">
        <v>2.1788988069340798</v>
      </c>
      <c r="X40">
        <v>122.0193703816</v>
      </c>
      <c r="Y40">
        <v>33.476167322169339</v>
      </c>
      <c r="Z40">
        <v>697.22039341679704</v>
      </c>
      <c r="AD40" s="12" t="s">
        <v>266</v>
      </c>
      <c r="AE40">
        <v>92.524530034602606</v>
      </c>
      <c r="AO40" s="12" t="s">
        <v>692</v>
      </c>
      <c r="AP40">
        <v>173</v>
      </c>
    </row>
    <row r="41" spans="1:42" x14ac:dyDescent="0.25">
      <c r="A41" s="12" t="s">
        <v>481</v>
      </c>
      <c r="B41" s="13"/>
      <c r="C41" s="13">
        <v>2037.30324925339</v>
      </c>
      <c r="D41" s="13"/>
      <c r="E41" s="13"/>
      <c r="F41" s="13"/>
      <c r="G41" s="13">
        <v>2042.3536770686101</v>
      </c>
      <c r="H41" s="13">
        <v>4079.6569263219999</v>
      </c>
      <c r="L41" s="12" t="s">
        <v>436</v>
      </c>
      <c r="M41">
        <v>0.77861701872131595</v>
      </c>
      <c r="N41">
        <v>123.08987188890499</v>
      </c>
      <c r="O41">
        <v>-1.0249545518958101</v>
      </c>
      <c r="P41">
        <v>107.78523568753199</v>
      </c>
      <c r="Q41">
        <v>0.40594900136923401</v>
      </c>
      <c r="R41">
        <v>147.69398125946799</v>
      </c>
      <c r="S41">
        <v>36.700773275844803</v>
      </c>
      <c r="T41">
        <v>160.98670408012001</v>
      </c>
      <c r="U41">
        <v>4.0839960872681198</v>
      </c>
      <c r="V41">
        <v>137.31969065071101</v>
      </c>
      <c r="W41">
        <v>1.7242721449098899</v>
      </c>
      <c r="X41">
        <v>125.453412599941</v>
      </c>
      <c r="Y41">
        <v>42.668652976217551</v>
      </c>
      <c r="Z41">
        <v>802.32889616667694</v>
      </c>
      <c r="AD41" s="12" t="s">
        <v>101</v>
      </c>
      <c r="AE41">
        <v>91.998090347876257</v>
      </c>
    </row>
    <row r="42" spans="1:42" x14ac:dyDescent="0.25">
      <c r="A42" s="12" t="s">
        <v>449</v>
      </c>
      <c r="B42" s="13">
        <v>2144.0498599702601</v>
      </c>
      <c r="C42" s="13">
        <v>1944.40389945518</v>
      </c>
      <c r="D42" s="13">
        <v>2088.8216830603901</v>
      </c>
      <c r="E42" s="13">
        <v>2067.99782298932</v>
      </c>
      <c r="F42" s="13">
        <v>2242.63821870628</v>
      </c>
      <c r="G42" s="13">
        <v>1959.9827752788501</v>
      </c>
      <c r="H42" s="13">
        <v>12447.894259460279</v>
      </c>
      <c r="L42" s="12" t="s">
        <v>481</v>
      </c>
      <c r="O42">
        <v>-0.247284682957915</v>
      </c>
      <c r="P42">
        <v>109.499622825589</v>
      </c>
      <c r="W42">
        <v>0.92256513581917099</v>
      </c>
      <c r="X42">
        <v>122.795380515891</v>
      </c>
      <c r="Y42">
        <v>0.67528045286125593</v>
      </c>
      <c r="Z42">
        <v>232.29500334148</v>
      </c>
      <c r="AD42" s="12" t="s">
        <v>125</v>
      </c>
      <c r="AE42">
        <v>91.676147816639343</v>
      </c>
    </row>
    <row r="43" spans="1:42" x14ac:dyDescent="0.25">
      <c r="A43" s="12" t="s">
        <v>463</v>
      </c>
      <c r="B43" s="13">
        <v>2574.11484187629</v>
      </c>
      <c r="C43" s="13">
        <v>2520.7757247703398</v>
      </c>
      <c r="D43" s="13">
        <v>2565.0914537854501</v>
      </c>
      <c r="E43" s="13">
        <v>2505.47939908644</v>
      </c>
      <c r="F43" s="13">
        <v>2679.5060014625401</v>
      </c>
      <c r="G43" s="13">
        <v>2489.1472970599498</v>
      </c>
      <c r="H43" s="13">
        <v>15334.11471804101</v>
      </c>
      <c r="L43" s="12" t="s">
        <v>449</v>
      </c>
      <c r="M43">
        <v>-4.3960884066668298</v>
      </c>
      <c r="N43">
        <v>53.218562611227803</v>
      </c>
      <c r="O43">
        <v>-0.79484758846685699</v>
      </c>
      <c r="P43">
        <v>111.823719940967</v>
      </c>
      <c r="Q43">
        <v>1.0069575431648199</v>
      </c>
      <c r="R43">
        <v>70.799570076556506</v>
      </c>
      <c r="S43">
        <v>6.3563914662364498</v>
      </c>
      <c r="T43">
        <v>102.39056335875399</v>
      </c>
      <c r="U43">
        <v>7.3637944728977001</v>
      </c>
      <c r="V43">
        <v>67.268218914030598</v>
      </c>
      <c r="W43">
        <v>0.78878725503734903</v>
      </c>
      <c r="X43">
        <v>126.01696330796401</v>
      </c>
      <c r="Y43">
        <v>10.32499474220263</v>
      </c>
      <c r="Z43">
        <v>531.51759820949997</v>
      </c>
      <c r="AD43" s="12" t="s">
        <v>383</v>
      </c>
      <c r="AE43">
        <v>91.128153193342143</v>
      </c>
    </row>
    <row r="44" spans="1:42" x14ac:dyDescent="0.25">
      <c r="A44" s="12" t="s">
        <v>476</v>
      </c>
      <c r="B44" s="13"/>
      <c r="C44" s="13">
        <v>2092.3905788274701</v>
      </c>
      <c r="D44" s="13"/>
      <c r="E44" s="13"/>
      <c r="F44" s="13"/>
      <c r="G44" s="13">
        <v>2104.43470961504</v>
      </c>
      <c r="H44" s="13">
        <v>4196.8252884425101</v>
      </c>
      <c r="L44" s="12" t="s">
        <v>463</v>
      </c>
      <c r="M44">
        <v>-3.9332309585694398</v>
      </c>
      <c r="N44">
        <v>45.3018653839598</v>
      </c>
      <c r="O44">
        <v>1.2706531167416799</v>
      </c>
      <c r="P44">
        <v>105.560632886213</v>
      </c>
      <c r="Q44">
        <v>2.3792674057004901</v>
      </c>
      <c r="R44">
        <v>65.543192844612193</v>
      </c>
      <c r="S44">
        <v>-0.60681025819106604</v>
      </c>
      <c r="T44">
        <v>89.521087229815606</v>
      </c>
      <c r="U44">
        <v>4.4604471122556797</v>
      </c>
      <c r="V44">
        <v>63.990885743079502</v>
      </c>
      <c r="W44">
        <v>0.72284973124780605</v>
      </c>
      <c r="X44">
        <v>118.844817438508</v>
      </c>
      <c r="Y44">
        <v>4.2931761491851494</v>
      </c>
      <c r="Z44">
        <v>488.76248152618814</v>
      </c>
      <c r="AD44" s="12" t="s">
        <v>555</v>
      </c>
      <c r="AE44">
        <v>90.490071281955565</v>
      </c>
    </row>
    <row r="45" spans="1:42" x14ac:dyDescent="0.25">
      <c r="A45" s="12" t="s">
        <v>486</v>
      </c>
      <c r="B45" s="13">
        <v>2257.19816002057</v>
      </c>
      <c r="C45" s="13"/>
      <c r="D45" s="13">
        <v>2089.7943657252299</v>
      </c>
      <c r="E45" s="13">
        <v>2072.0011794684701</v>
      </c>
      <c r="F45" s="13">
        <v>2173.1178654254099</v>
      </c>
      <c r="G45" s="13"/>
      <c r="H45" s="13">
        <v>8592.1115706396813</v>
      </c>
      <c r="L45" s="12" t="s">
        <v>476</v>
      </c>
      <c r="O45">
        <v>-0.57232142829324495</v>
      </c>
      <c r="P45">
        <v>111.121598805541</v>
      </c>
      <c r="W45">
        <v>1.75213419395764</v>
      </c>
      <c r="X45">
        <v>124.773850635157</v>
      </c>
      <c r="Y45">
        <v>1.1798127656643951</v>
      </c>
      <c r="Z45">
        <v>235.895449440698</v>
      </c>
      <c r="AD45" s="12" t="s">
        <v>165</v>
      </c>
      <c r="AE45">
        <v>89.230786337498088</v>
      </c>
    </row>
    <row r="46" spans="1:42" x14ac:dyDescent="0.25">
      <c r="A46" s="12" t="s">
        <v>494</v>
      </c>
      <c r="B46" s="13">
        <v>5920.8372821896501</v>
      </c>
      <c r="C46" s="13"/>
      <c r="D46" s="13">
        <v>5458.01897597883</v>
      </c>
      <c r="E46" s="13">
        <v>5407.6326790166704</v>
      </c>
      <c r="F46" s="13">
        <v>5752.7551214759096</v>
      </c>
      <c r="G46" s="13"/>
      <c r="H46" s="13">
        <v>22539.244058661061</v>
      </c>
      <c r="L46" s="12" t="s">
        <v>486</v>
      </c>
      <c r="M46">
        <v>3.8691088013627599</v>
      </c>
      <c r="Q46">
        <v>0.85874402162845698</v>
      </c>
      <c r="U46">
        <v>3.9871626159382498</v>
      </c>
      <c r="Y46">
        <v>8.7150154389294663</v>
      </c>
      <c r="AD46" s="12" t="s">
        <v>351</v>
      </c>
      <c r="AE46">
        <v>88.914569971709525</v>
      </c>
    </row>
    <row r="47" spans="1:42" x14ac:dyDescent="0.25">
      <c r="A47" s="12" t="s">
        <v>502</v>
      </c>
      <c r="B47" s="13">
        <v>938.42378465177205</v>
      </c>
      <c r="C47" s="13">
        <v>930.78900812666495</v>
      </c>
      <c r="D47" s="13">
        <v>823.29869998066295</v>
      </c>
      <c r="E47" s="13">
        <v>852.51531154864904</v>
      </c>
      <c r="F47" s="13">
        <v>909.88487977933903</v>
      </c>
      <c r="G47" s="13">
        <v>942.23834413034206</v>
      </c>
      <c r="H47" s="13">
        <v>5397.1500282174302</v>
      </c>
      <c r="L47" s="12" t="s">
        <v>494</v>
      </c>
      <c r="M47">
        <v>2.9217680426942398</v>
      </c>
      <c r="Q47">
        <v>0.93176256511798505</v>
      </c>
      <c r="U47">
        <v>5.4000571781490097</v>
      </c>
      <c r="Y47">
        <v>9.2535877859612334</v>
      </c>
      <c r="AD47" s="12" t="s">
        <v>449</v>
      </c>
      <c r="AE47">
        <v>88.58626636824998</v>
      </c>
    </row>
    <row r="48" spans="1:42" x14ac:dyDescent="0.25">
      <c r="A48" s="12" t="s">
        <v>515</v>
      </c>
      <c r="B48" s="13">
        <v>5489.2820246853198</v>
      </c>
      <c r="C48" s="13">
        <v>4106.7161954740204</v>
      </c>
      <c r="D48" s="13">
        <v>5103.9420286918903</v>
      </c>
      <c r="E48" s="13">
        <v>5065.3631911843804</v>
      </c>
      <c r="F48" s="13">
        <v>5459.0421429298303</v>
      </c>
      <c r="G48" s="13">
        <v>4039.6252556423601</v>
      </c>
      <c r="H48" s="13">
        <v>29263.970838607802</v>
      </c>
      <c r="L48" s="12" t="s">
        <v>502</v>
      </c>
      <c r="M48">
        <v>3.1365401829024901</v>
      </c>
      <c r="N48">
        <v>16.235217062157901</v>
      </c>
      <c r="O48">
        <v>-1.2151210014960601</v>
      </c>
      <c r="P48">
        <v>68.644620044725201</v>
      </c>
      <c r="Q48">
        <v>-3.4271069589251302</v>
      </c>
      <c r="R48">
        <v>22.363803716322799</v>
      </c>
      <c r="S48">
        <v>-8.4093920205989807</v>
      </c>
      <c r="T48">
        <v>38.513937813929097</v>
      </c>
      <c r="U48">
        <v>10.516982451291399</v>
      </c>
      <c r="V48">
        <v>31.969207342668501</v>
      </c>
      <c r="W48">
        <v>4.8642105378602496</v>
      </c>
      <c r="X48">
        <v>91.978924090503497</v>
      </c>
      <c r="Y48">
        <v>5.4661131910339682</v>
      </c>
      <c r="Z48">
        <v>269.70571007030702</v>
      </c>
      <c r="AD48" s="12" t="s">
        <v>138</v>
      </c>
      <c r="AE48">
        <v>86.133272449569404</v>
      </c>
    </row>
    <row r="49" spans="1:31" x14ac:dyDescent="0.25">
      <c r="A49" s="12" t="s">
        <v>528</v>
      </c>
      <c r="B49" s="13">
        <v>994.19173616473597</v>
      </c>
      <c r="C49" s="13">
        <v>1014.7414650661</v>
      </c>
      <c r="D49" s="13">
        <v>931.03473383633604</v>
      </c>
      <c r="E49" s="13">
        <v>928.00162815407703</v>
      </c>
      <c r="F49" s="13">
        <v>999.17967446513501</v>
      </c>
      <c r="G49" s="13">
        <v>991.20399188409101</v>
      </c>
      <c r="H49" s="13">
        <v>5858.3532295704754</v>
      </c>
      <c r="L49" s="12" t="s">
        <v>515</v>
      </c>
      <c r="M49">
        <v>0.55394116703537799</v>
      </c>
      <c r="N49">
        <v>94.044717991188705</v>
      </c>
      <c r="O49">
        <v>1.66082088277745</v>
      </c>
      <c r="P49">
        <v>99.400453468826598</v>
      </c>
      <c r="Q49">
        <v>0.76162036267523403</v>
      </c>
      <c r="R49">
        <v>108.727777118533</v>
      </c>
      <c r="S49">
        <v>23.343395308564698</v>
      </c>
      <c r="T49">
        <v>128.74359632208899</v>
      </c>
      <c r="U49">
        <v>6.9573696613663101</v>
      </c>
      <c r="V49">
        <v>100.065094008892</v>
      </c>
      <c r="W49">
        <v>2.4143522776233799</v>
      </c>
      <c r="X49">
        <v>104.045277327761</v>
      </c>
      <c r="Y49">
        <v>35.691499660042446</v>
      </c>
      <c r="Z49">
        <v>635.02691623729027</v>
      </c>
      <c r="AD49" s="12" t="s">
        <v>542</v>
      </c>
      <c r="AE49">
        <v>83.945929765436404</v>
      </c>
    </row>
    <row r="50" spans="1:31" x14ac:dyDescent="0.25">
      <c r="A50" s="12" t="s">
        <v>542</v>
      </c>
      <c r="B50" s="13">
        <v>888.91036973350299</v>
      </c>
      <c r="C50" s="13">
        <v>887.45091137505199</v>
      </c>
      <c r="D50" s="13">
        <v>827.31484440540498</v>
      </c>
      <c r="E50" s="13">
        <v>837.23255124624598</v>
      </c>
      <c r="F50" s="13">
        <v>872.13527080810798</v>
      </c>
      <c r="G50" s="13">
        <v>873.77102001760204</v>
      </c>
      <c r="H50" s="13">
        <v>5186.8149675859149</v>
      </c>
      <c r="L50" s="12" t="s">
        <v>528</v>
      </c>
      <c r="M50">
        <v>-0.49920333928622102</v>
      </c>
      <c r="N50">
        <v>36.990129288524798</v>
      </c>
      <c r="O50">
        <v>2.3746346236228901</v>
      </c>
      <c r="P50">
        <v>87.220903069643498</v>
      </c>
      <c r="Q50">
        <v>0.32684271128839598</v>
      </c>
      <c r="R50">
        <v>46.389219761521403</v>
      </c>
      <c r="S50">
        <v>-8.5479740306439105</v>
      </c>
      <c r="T50">
        <v>61.172095672686297</v>
      </c>
      <c r="U50">
        <v>7.3192694270391998</v>
      </c>
      <c r="V50">
        <v>49.196117000196899</v>
      </c>
      <c r="W50">
        <v>3.7120167756503601</v>
      </c>
      <c r="X50">
        <v>88.145186748982198</v>
      </c>
      <c r="Y50">
        <v>4.6855861676707145</v>
      </c>
      <c r="Z50">
        <v>369.1136515415551</v>
      </c>
      <c r="AD50" s="12" t="s">
        <v>298</v>
      </c>
      <c r="AE50">
        <v>83.106837067603607</v>
      </c>
    </row>
    <row r="51" spans="1:31" x14ac:dyDescent="0.25">
      <c r="A51" s="12" t="s">
        <v>555</v>
      </c>
      <c r="B51" s="13">
        <v>5939.2872886936802</v>
      </c>
      <c r="C51" s="13">
        <v>4725.1654426294299</v>
      </c>
      <c r="D51" s="13">
        <v>5564.28907556592</v>
      </c>
      <c r="E51" s="13">
        <v>5467.23134462281</v>
      </c>
      <c r="F51" s="13">
        <v>5860.0071237336497</v>
      </c>
      <c r="G51" s="13">
        <v>4626.8186758829997</v>
      </c>
      <c r="H51" s="13">
        <v>32182.79895112849</v>
      </c>
      <c r="L51" s="12" t="s">
        <v>542</v>
      </c>
      <c r="M51">
        <v>1.9234514973636001</v>
      </c>
      <c r="O51">
        <v>1.56561513761062</v>
      </c>
      <c r="P51">
        <v>81.876075630029405</v>
      </c>
      <c r="Q51">
        <v>-1.18458208846251</v>
      </c>
      <c r="U51">
        <v>5.4175779276528502</v>
      </c>
      <c r="W51">
        <v>3.6242693197759199</v>
      </c>
      <c r="X51">
        <v>86.015783900843402</v>
      </c>
      <c r="Y51">
        <v>11.346331793940481</v>
      </c>
      <c r="Z51">
        <v>167.89185953087281</v>
      </c>
      <c r="AD51" s="12" t="s">
        <v>393</v>
      </c>
      <c r="AE51">
        <v>81.974233785652885</v>
      </c>
    </row>
    <row r="52" spans="1:31" x14ac:dyDescent="0.25">
      <c r="A52" s="12" t="s">
        <v>567</v>
      </c>
      <c r="B52" s="13">
        <v>1283.5712136417701</v>
      </c>
      <c r="C52" s="13">
        <v>1453.4956678575099</v>
      </c>
      <c r="D52" s="13">
        <v>1111.1395879256399</v>
      </c>
      <c r="E52" s="13">
        <v>1081.43913597703</v>
      </c>
      <c r="F52" s="13">
        <v>1157.34571869108</v>
      </c>
      <c r="G52" s="13">
        <v>1472.17604013204</v>
      </c>
      <c r="H52" s="13">
        <v>7559.1673642250698</v>
      </c>
      <c r="L52" s="12" t="s">
        <v>555</v>
      </c>
      <c r="M52">
        <v>1.3529021942469599</v>
      </c>
      <c r="N52">
        <v>74.939646804130206</v>
      </c>
      <c r="O52">
        <v>2.12558074209938</v>
      </c>
      <c r="P52">
        <v>88.091454982449093</v>
      </c>
      <c r="Q52">
        <v>1.7752629224034699</v>
      </c>
      <c r="R52">
        <v>92.998497136207703</v>
      </c>
      <c r="S52">
        <v>15.7045485709055</v>
      </c>
      <c r="T52">
        <v>107.997518302885</v>
      </c>
      <c r="U52">
        <v>5.3145701841103898</v>
      </c>
      <c r="V52">
        <v>87.577590776631396</v>
      </c>
      <c r="W52">
        <v>2.6042274681930802</v>
      </c>
      <c r="X52">
        <v>91.335719689429993</v>
      </c>
      <c r="Y52">
        <v>28.877092081958782</v>
      </c>
      <c r="Z52">
        <v>542.94042769173348</v>
      </c>
      <c r="AD52" s="12" t="s">
        <v>463</v>
      </c>
      <c r="AE52">
        <v>81.460413587698014</v>
      </c>
    </row>
    <row r="53" spans="1:31" x14ac:dyDescent="0.25">
      <c r="A53" s="12" t="s">
        <v>582</v>
      </c>
      <c r="B53" s="13">
        <v>3374.8094323292298</v>
      </c>
      <c r="C53" s="13">
        <v>3362.8340562642102</v>
      </c>
      <c r="D53" s="13">
        <v>3090.5103853288301</v>
      </c>
      <c r="E53" s="13">
        <v>2975.9619234909901</v>
      </c>
      <c r="F53" s="13">
        <v>3337.0082982445902</v>
      </c>
      <c r="G53" s="13">
        <v>3147.0488937671198</v>
      </c>
      <c r="H53" s="13">
        <v>19288.172989424973</v>
      </c>
      <c r="L53" s="12" t="s">
        <v>567</v>
      </c>
      <c r="M53">
        <v>10.906464067922901</v>
      </c>
      <c r="N53">
        <v>14.256346008367499</v>
      </c>
      <c r="O53">
        <v>-1.2688952791846899</v>
      </c>
      <c r="P53">
        <v>78.527095706102799</v>
      </c>
      <c r="Q53">
        <v>2.7463822013231902</v>
      </c>
      <c r="R53">
        <v>18.477525709248599</v>
      </c>
      <c r="S53">
        <v>-25.5973609077835</v>
      </c>
      <c r="T53">
        <v>27.9418626009939</v>
      </c>
      <c r="U53">
        <v>4.1584451915439198</v>
      </c>
      <c r="V53">
        <v>20.596601931584299</v>
      </c>
      <c r="W53">
        <v>0.42225239614847099</v>
      </c>
      <c r="X53">
        <v>94.052696938795606</v>
      </c>
      <c r="Y53">
        <v>-8.6327123300297099</v>
      </c>
      <c r="Z53">
        <v>253.8521288950927</v>
      </c>
      <c r="AD53" s="12" t="s">
        <v>602</v>
      </c>
      <c r="AE53">
        <v>80.941847110966577</v>
      </c>
    </row>
    <row r="54" spans="1:31" x14ac:dyDescent="0.25">
      <c r="A54" s="12" t="s">
        <v>593</v>
      </c>
      <c r="B54" s="13">
        <v>2057.3488049013399</v>
      </c>
      <c r="C54" s="13"/>
      <c r="D54" s="13">
        <v>1926.20411932915</v>
      </c>
      <c r="E54" s="13">
        <v>1850.8432699560799</v>
      </c>
      <c r="F54" s="13">
        <v>2040.81873295581</v>
      </c>
      <c r="G54" s="13"/>
      <c r="H54" s="13">
        <v>7875.2149271423805</v>
      </c>
      <c r="L54" s="12" t="s">
        <v>582</v>
      </c>
      <c r="M54">
        <v>1.1327851388479</v>
      </c>
      <c r="N54">
        <v>62.390321243366301</v>
      </c>
      <c r="O54">
        <v>6.8567464243870697</v>
      </c>
      <c r="P54">
        <v>96.708633295817606</v>
      </c>
      <c r="Q54">
        <v>3.8491239062449201</v>
      </c>
      <c r="R54">
        <v>64.492769728226904</v>
      </c>
      <c r="S54">
        <v>-11.5043480082689</v>
      </c>
      <c r="T54">
        <v>66.928958841508404</v>
      </c>
      <c r="U54">
        <v>7.9759613197202803</v>
      </c>
      <c r="V54">
        <v>66.546800086168901</v>
      </c>
      <c r="W54">
        <v>15.735861541380499</v>
      </c>
      <c r="X54">
        <v>95.446575120183894</v>
      </c>
      <c r="Y54">
        <v>24.046130322311768</v>
      </c>
      <c r="Z54">
        <v>452.514058315272</v>
      </c>
      <c r="AD54" s="12" t="s">
        <v>388</v>
      </c>
      <c r="AE54">
        <v>79.375236717866855</v>
      </c>
    </row>
    <row r="55" spans="1:31" x14ac:dyDescent="0.25">
      <c r="A55" s="12" t="s">
        <v>602</v>
      </c>
      <c r="B55" s="13">
        <v>4166.5681996130497</v>
      </c>
      <c r="C55" s="13">
        <v>3871.4754362969402</v>
      </c>
      <c r="D55" s="13">
        <v>3890.8029976448402</v>
      </c>
      <c r="E55" s="13">
        <v>3847.3656922479099</v>
      </c>
      <c r="F55" s="13">
        <v>4114.2425360704501</v>
      </c>
      <c r="G55" s="13">
        <v>3819.3696006646201</v>
      </c>
      <c r="H55" s="13">
        <v>23709.82446253781</v>
      </c>
      <c r="L55" s="12" t="s">
        <v>593</v>
      </c>
      <c r="M55">
        <v>0.80997257025290403</v>
      </c>
      <c r="Q55">
        <v>4.0717034551962703</v>
      </c>
      <c r="U55">
        <v>5.9502839017174303</v>
      </c>
      <c r="Y55">
        <v>10.831959927166604</v>
      </c>
      <c r="AD55" s="12" t="s">
        <v>365</v>
      </c>
      <c r="AE55">
        <v>79.262377187719082</v>
      </c>
    </row>
    <row r="56" spans="1:31" x14ac:dyDescent="0.25">
      <c r="A56" s="12" t="s">
        <v>616</v>
      </c>
      <c r="B56" s="13">
        <v>2240.0837774352499</v>
      </c>
      <c r="C56" s="13">
        <v>1905.90097860793</v>
      </c>
      <c r="D56" s="13">
        <v>2022.0329125304399</v>
      </c>
      <c r="E56" s="13">
        <v>1991.3299394697301</v>
      </c>
      <c r="F56" s="13">
        <v>2141.1300356787601</v>
      </c>
      <c r="G56" s="13">
        <v>1836.0085445683401</v>
      </c>
      <c r="H56" s="13">
        <v>12136.48618829045</v>
      </c>
      <c r="L56" s="12" t="s">
        <v>602</v>
      </c>
      <c r="M56">
        <v>1.2718176695675201</v>
      </c>
      <c r="N56">
        <v>61.918558136748203</v>
      </c>
      <c r="O56">
        <v>1.3642522478907</v>
      </c>
      <c r="P56">
        <v>95.866202620811904</v>
      </c>
      <c r="Q56">
        <v>1.1290142105402099</v>
      </c>
      <c r="R56">
        <v>70.830138606683704</v>
      </c>
      <c r="S56">
        <v>-0.62275337776870299</v>
      </c>
      <c r="T56">
        <v>88.320895952811696</v>
      </c>
      <c r="U56">
        <v>5.7427615471884801</v>
      </c>
      <c r="V56">
        <v>66.055530939015895</v>
      </c>
      <c r="W56">
        <v>1.90786198545033</v>
      </c>
      <c r="X56">
        <v>102.659756409728</v>
      </c>
      <c r="Y56">
        <v>10.792954282868537</v>
      </c>
      <c r="Z56">
        <v>485.65108266579944</v>
      </c>
      <c r="AD56" s="12" t="s">
        <v>179</v>
      </c>
      <c r="AE56">
        <v>78.326961991932549</v>
      </c>
    </row>
    <row r="57" spans="1:31" x14ac:dyDescent="0.25">
      <c r="A57" s="12" t="s">
        <v>692</v>
      </c>
      <c r="B57" s="13">
        <v>135492.52040051666</v>
      </c>
      <c r="C57" s="13">
        <v>125565.41424473356</v>
      </c>
      <c r="D57" s="13">
        <v>127998.5501667123</v>
      </c>
      <c r="E57" s="13">
        <v>125983.83095684122</v>
      </c>
      <c r="F57" s="13">
        <v>136203.28542583963</v>
      </c>
      <c r="G57" s="13">
        <v>123072.0725456379</v>
      </c>
      <c r="H57" s="13">
        <v>774315.67374028126</v>
      </c>
      <c r="L57" s="12" t="s">
        <v>616</v>
      </c>
      <c r="M57">
        <v>4.6215661873674296</v>
      </c>
      <c r="N57">
        <v>98.172750945910096</v>
      </c>
      <c r="O57">
        <v>3.80675973684103</v>
      </c>
      <c r="P57">
        <v>132.73389282625399</v>
      </c>
      <c r="Q57">
        <v>1.5418325437762499</v>
      </c>
      <c r="R57">
        <v>100.289328505569</v>
      </c>
      <c r="S57">
        <v>4.4823399442399801</v>
      </c>
      <c r="T57">
        <v>120.78247143557</v>
      </c>
      <c r="U57">
        <v>5.8899695652963304</v>
      </c>
      <c r="V57">
        <v>100.33469295883999</v>
      </c>
      <c r="W57">
        <v>7.6469454531632204</v>
      </c>
      <c r="X57">
        <v>137.60197468046101</v>
      </c>
      <c r="Y57">
        <v>27.989413430684241</v>
      </c>
      <c r="Z57">
        <v>689.91511135260419</v>
      </c>
      <c r="AD57" s="12" t="s">
        <v>582</v>
      </c>
      <c r="AE57">
        <v>75.419009719211999</v>
      </c>
    </row>
    <row r="58" spans="1:31" x14ac:dyDescent="0.25">
      <c r="L58" s="12" t="s">
        <v>692</v>
      </c>
      <c r="M58">
        <v>4.2892086755277132</v>
      </c>
      <c r="N58">
        <v>1578.2730023341903</v>
      </c>
      <c r="O58">
        <v>61.83020835035579</v>
      </c>
      <c r="P58">
        <v>4256.1286753211461</v>
      </c>
      <c r="Q58">
        <v>57.876018472118133</v>
      </c>
      <c r="R58">
        <v>1972.8883495946334</v>
      </c>
      <c r="S58">
        <v>29.410614207637742</v>
      </c>
      <c r="T58">
        <v>2491.4433885929889</v>
      </c>
      <c r="U58">
        <v>253.09791048260104</v>
      </c>
      <c r="V58">
        <v>1911.6635523254095</v>
      </c>
      <c r="W58">
        <v>196.0016132201809</v>
      </c>
      <c r="X58">
        <v>4671.5215603813867</v>
      </c>
      <c r="Y58">
        <v>602.50557340842158</v>
      </c>
      <c r="Z58">
        <v>16881.918528549751</v>
      </c>
      <c r="AD58" s="12" t="s">
        <v>321</v>
      </c>
      <c r="AE58">
        <v>74.288227994726299</v>
      </c>
    </row>
    <row r="59" spans="1:31" x14ac:dyDescent="0.25">
      <c r="AD59" s="12" t="s">
        <v>109</v>
      </c>
      <c r="AE59">
        <v>73.336427390229133</v>
      </c>
    </row>
    <row r="60" spans="1:31" x14ac:dyDescent="0.25">
      <c r="AD60" s="12" t="s">
        <v>192</v>
      </c>
      <c r="AE60">
        <v>73.068212407228927</v>
      </c>
    </row>
    <row r="61" spans="1:31" x14ac:dyDescent="0.25">
      <c r="AD61" s="12" t="s">
        <v>237</v>
      </c>
      <c r="AE61">
        <v>72.328704171125153</v>
      </c>
    </row>
    <row r="62" spans="1:31" x14ac:dyDescent="0.25">
      <c r="AD62" s="12" t="s">
        <v>326</v>
      </c>
      <c r="AE62">
        <v>66.33691023748888</v>
      </c>
    </row>
    <row r="63" spans="1:31" x14ac:dyDescent="0.25">
      <c r="AD63" s="12" t="s">
        <v>409</v>
      </c>
      <c r="AE63">
        <v>64.702640517974558</v>
      </c>
    </row>
    <row r="64" spans="1:31" x14ac:dyDescent="0.25">
      <c r="AD64" s="12" t="s">
        <v>528</v>
      </c>
      <c r="AE64">
        <v>61.518941923592514</v>
      </c>
    </row>
    <row r="65" spans="30:31" x14ac:dyDescent="0.25">
      <c r="AD65" s="12" t="s">
        <v>205</v>
      </c>
      <c r="AE65">
        <v>56.69628876629335</v>
      </c>
    </row>
    <row r="66" spans="30:31" x14ac:dyDescent="0.25">
      <c r="AD66" s="12" t="s">
        <v>186</v>
      </c>
      <c r="AE66">
        <v>55.252702585392598</v>
      </c>
    </row>
    <row r="67" spans="30:31" x14ac:dyDescent="0.25">
      <c r="AD67" s="12" t="s">
        <v>502</v>
      </c>
      <c r="AE67">
        <v>44.950951678384506</v>
      </c>
    </row>
    <row r="68" spans="30:31" x14ac:dyDescent="0.25">
      <c r="AD68" s="12" t="s">
        <v>567</v>
      </c>
      <c r="AE68">
        <v>42.308688149182117</v>
      </c>
    </row>
    <row r="69" spans="30:31" x14ac:dyDescent="0.25">
      <c r="AD69" s="12" t="s">
        <v>216</v>
      </c>
      <c r="AE69">
        <v>41.20292543417645</v>
      </c>
    </row>
    <row r="70" spans="30:31" x14ac:dyDescent="0.25">
      <c r="AD70" s="12" t="s">
        <v>311</v>
      </c>
    </row>
    <row r="71" spans="30:31" x14ac:dyDescent="0.25">
      <c r="AD71" s="12" t="s">
        <v>494</v>
      </c>
    </row>
    <row r="72" spans="30:31" x14ac:dyDescent="0.25">
      <c r="AD72" s="12" t="s">
        <v>230</v>
      </c>
    </row>
    <row r="73" spans="30:31" x14ac:dyDescent="0.25">
      <c r="AD73" s="12" t="s">
        <v>486</v>
      </c>
    </row>
    <row r="74" spans="30:31" x14ac:dyDescent="0.25">
      <c r="AD74" s="12" t="s">
        <v>593</v>
      </c>
    </row>
    <row r="75" spans="30:31" x14ac:dyDescent="0.25">
      <c r="AD75" s="12" t="s">
        <v>280</v>
      </c>
    </row>
    <row r="76" spans="30:31" x14ac:dyDescent="0.25">
      <c r="AD76" s="12" t="s">
        <v>153</v>
      </c>
    </row>
    <row r="77" spans="30:31" x14ac:dyDescent="0.25">
      <c r="AD77" s="12" t="s">
        <v>242</v>
      </c>
    </row>
    <row r="78" spans="30:31" x14ac:dyDescent="0.25">
      <c r="AD78" s="12" t="s">
        <v>289</v>
      </c>
    </row>
    <row r="79" spans="30:31" x14ac:dyDescent="0.25">
      <c r="AD79" s="12" t="s">
        <v>692</v>
      </c>
      <c r="AE79">
        <v>87.020198600771877</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55"/>
  <sheetViews>
    <sheetView zoomScaleNormal="100" workbookViewId="0">
      <pane ySplit="1" topLeftCell="A2" activePane="bottomLeft" state="frozen"/>
      <selection pane="bottomLeft" sqref="A1:P255"/>
    </sheetView>
  </sheetViews>
  <sheetFormatPr defaultColWidth="8.7109375" defaultRowHeight="15" x14ac:dyDescent="0.25"/>
  <cols>
    <col min="1" max="1" width="10" customWidth="1"/>
    <col min="2" max="2" width="32" customWidth="1"/>
    <col min="3" max="3" width="38" customWidth="1"/>
    <col min="4" max="4" width="15" customWidth="1"/>
    <col min="5" max="5" width="20" customWidth="1"/>
    <col min="6" max="7" width="18" customWidth="1"/>
    <col min="8" max="9" width="10" customWidth="1"/>
    <col min="10" max="10" width="20" customWidth="1"/>
    <col min="11" max="11" width="16" customWidth="1"/>
    <col min="12" max="12" width="14" customWidth="1"/>
    <col min="13" max="13" width="20" customWidth="1"/>
    <col min="14" max="14" width="16" customWidth="1"/>
    <col min="15" max="15" width="14" customWidth="1"/>
    <col min="16" max="16" width="32" customWidth="1"/>
  </cols>
  <sheetData>
    <row r="1" spans="1:16" ht="27.75" customHeight="1" x14ac:dyDescent="0.25">
      <c r="A1" s="5" t="s">
        <v>2</v>
      </c>
      <c r="B1" s="5" t="s">
        <v>9</v>
      </c>
      <c r="C1" s="5" t="s">
        <v>10</v>
      </c>
      <c r="D1" s="5" t="s">
        <v>11</v>
      </c>
      <c r="E1" s="5" t="s">
        <v>12</v>
      </c>
      <c r="F1" s="5" t="s">
        <v>13</v>
      </c>
      <c r="G1" s="5" t="s">
        <v>14</v>
      </c>
      <c r="H1" s="5" t="s">
        <v>15</v>
      </c>
      <c r="I1" s="5" t="s">
        <v>16</v>
      </c>
      <c r="J1" s="5" t="s">
        <v>17</v>
      </c>
      <c r="K1" s="5" t="s">
        <v>18</v>
      </c>
      <c r="L1" s="5" t="s">
        <v>19</v>
      </c>
      <c r="M1" s="5" t="s">
        <v>20</v>
      </c>
      <c r="N1" s="5" t="s">
        <v>21</v>
      </c>
      <c r="O1" s="5" t="s">
        <v>22</v>
      </c>
      <c r="P1" s="5" t="s">
        <v>23</v>
      </c>
    </row>
    <row r="2" spans="1:16" x14ac:dyDescent="0.25">
      <c r="A2" s="2" t="s">
        <v>3</v>
      </c>
      <c r="B2" s="2" t="s">
        <v>1</v>
      </c>
      <c r="C2" s="2" t="s">
        <v>24</v>
      </c>
      <c r="D2" s="6" t="s">
        <v>25</v>
      </c>
      <c r="E2" s="3">
        <v>110.09887211887199</v>
      </c>
      <c r="F2" s="3">
        <v>235.67349814172499</v>
      </c>
      <c r="G2" s="3">
        <v>247.25909993431799</v>
      </c>
      <c r="H2" s="3">
        <v>4.9159544386384999</v>
      </c>
      <c r="I2" s="3">
        <v>124.57913980023</v>
      </c>
      <c r="J2" s="2" t="s">
        <v>26</v>
      </c>
      <c r="K2" s="2" t="s">
        <v>27</v>
      </c>
      <c r="L2" s="3">
        <v>300</v>
      </c>
      <c r="M2" s="2" t="s">
        <v>28</v>
      </c>
      <c r="N2" s="2" t="s">
        <v>29</v>
      </c>
      <c r="O2" s="3">
        <v>199.73</v>
      </c>
      <c r="P2" s="2" t="s">
        <v>30</v>
      </c>
    </row>
    <row r="3" spans="1:16" x14ac:dyDescent="0.25">
      <c r="A3" s="2" t="s">
        <v>4</v>
      </c>
      <c r="B3" s="2" t="s">
        <v>1</v>
      </c>
      <c r="C3" s="2" t="s">
        <v>24</v>
      </c>
      <c r="D3" s="6" t="s">
        <v>25</v>
      </c>
      <c r="E3" s="3">
        <v>110.04435753645799</v>
      </c>
      <c r="F3" s="3">
        <v>247.25909993431799</v>
      </c>
      <c r="G3" s="3">
        <v>252.16549790250099</v>
      </c>
      <c r="H3" s="3">
        <v>1.98431441734056</v>
      </c>
      <c r="I3" s="3">
        <v>129.148957336553</v>
      </c>
      <c r="J3" s="2" t="s">
        <v>31</v>
      </c>
      <c r="K3" s="2" t="s">
        <v>32</v>
      </c>
      <c r="L3" s="3">
        <v>300.73</v>
      </c>
      <c r="M3" s="2" t="s">
        <v>33</v>
      </c>
      <c r="N3" s="2" t="s">
        <v>34</v>
      </c>
      <c r="O3" s="3">
        <v>212</v>
      </c>
      <c r="P3" s="2" t="s">
        <v>35</v>
      </c>
    </row>
    <row r="4" spans="1:16" x14ac:dyDescent="0.25">
      <c r="A4" s="2" t="s">
        <v>5</v>
      </c>
      <c r="B4" s="2" t="s">
        <v>1</v>
      </c>
      <c r="C4" s="2" t="s">
        <v>1</v>
      </c>
      <c r="D4" s="6" t="s">
        <v>25</v>
      </c>
      <c r="E4" s="3">
        <v>116.41</v>
      </c>
      <c r="F4" s="3">
        <v>252.16549790250099</v>
      </c>
      <c r="G4" s="3">
        <v>248.04139052252299</v>
      </c>
      <c r="H4" s="3">
        <v>-1.63547646854262</v>
      </c>
      <c r="I4" s="3">
        <v>113.075672641975</v>
      </c>
      <c r="J4" s="2" t="s">
        <v>36</v>
      </c>
      <c r="K4" s="2" t="s">
        <v>37</v>
      </c>
      <c r="L4" s="3">
        <v>325</v>
      </c>
      <c r="M4" s="2" t="s">
        <v>38</v>
      </c>
      <c r="N4" s="2" t="s">
        <v>39</v>
      </c>
      <c r="O4" s="3">
        <v>200</v>
      </c>
      <c r="P4" s="2" t="s">
        <v>40</v>
      </c>
    </row>
    <row r="5" spans="1:16" x14ac:dyDescent="0.25">
      <c r="A5" s="2" t="s">
        <v>6</v>
      </c>
      <c r="B5" s="2" t="s">
        <v>1</v>
      </c>
      <c r="C5" s="2" t="s">
        <v>41</v>
      </c>
      <c r="D5" s="6" t="s">
        <v>25</v>
      </c>
      <c r="E5" s="3">
        <v>139.280212289887</v>
      </c>
      <c r="F5" s="3">
        <v>248.04139052252299</v>
      </c>
      <c r="G5" s="3">
        <v>251.94051654054101</v>
      </c>
      <c r="H5" s="3">
        <v>1.57196587626128</v>
      </c>
      <c r="I5" s="3">
        <v>80.887516179378096</v>
      </c>
      <c r="J5" s="2" t="s">
        <v>36</v>
      </c>
      <c r="K5" s="2" t="s">
        <v>37</v>
      </c>
      <c r="L5" s="3">
        <v>325</v>
      </c>
      <c r="M5" s="2" t="s">
        <v>38</v>
      </c>
      <c r="N5" s="2" t="s">
        <v>39</v>
      </c>
      <c r="O5" s="3">
        <v>200</v>
      </c>
      <c r="P5" s="2" t="s">
        <v>42</v>
      </c>
    </row>
    <row r="6" spans="1:16" x14ac:dyDescent="0.25">
      <c r="A6" s="2" t="s">
        <v>7</v>
      </c>
      <c r="B6" s="2" t="s">
        <v>1</v>
      </c>
      <c r="C6" s="2" t="s">
        <v>41</v>
      </c>
      <c r="D6" s="6" t="s">
        <v>25</v>
      </c>
      <c r="E6" s="3">
        <v>147.92333733834499</v>
      </c>
      <c r="F6" s="3">
        <v>251.94051654054101</v>
      </c>
      <c r="G6" s="3">
        <v>261.18234628675702</v>
      </c>
      <c r="H6" s="3">
        <v>3.6682586322827899</v>
      </c>
      <c r="I6" s="3">
        <v>76.566017902472794</v>
      </c>
      <c r="J6" s="2" t="s">
        <v>43</v>
      </c>
      <c r="K6" s="2" t="s">
        <v>37</v>
      </c>
      <c r="L6" s="3">
        <v>354.75</v>
      </c>
      <c r="M6" s="2" t="s">
        <v>44</v>
      </c>
      <c r="N6" s="2" t="s">
        <v>45</v>
      </c>
      <c r="O6" s="3">
        <v>210</v>
      </c>
      <c r="P6" s="2" t="s">
        <v>46</v>
      </c>
    </row>
    <row r="7" spans="1:16" x14ac:dyDescent="0.25">
      <c r="A7" s="2" t="s">
        <v>8</v>
      </c>
      <c r="B7" s="2" t="s">
        <v>1</v>
      </c>
      <c r="C7" s="2" t="s">
        <v>41</v>
      </c>
      <c r="D7" s="6" t="s">
        <v>25</v>
      </c>
      <c r="E7" s="3">
        <v>150.848909933926</v>
      </c>
      <c r="F7" s="3">
        <v>261.18234628675702</v>
      </c>
      <c r="G7" s="3">
        <v>259.31615245998501</v>
      </c>
      <c r="H7" s="3">
        <v>-0.71451759787888602</v>
      </c>
      <c r="I7" s="3">
        <v>71.9045583912865</v>
      </c>
      <c r="J7" s="2" t="s">
        <v>47</v>
      </c>
      <c r="K7" s="2" t="s">
        <v>37</v>
      </c>
      <c r="L7" s="3">
        <v>356.73</v>
      </c>
      <c r="M7" s="2" t="s">
        <v>48</v>
      </c>
      <c r="N7" s="2" t="s">
        <v>45</v>
      </c>
      <c r="O7" s="3">
        <v>220</v>
      </c>
      <c r="P7" s="2" t="s">
        <v>49</v>
      </c>
    </row>
    <row r="8" spans="1:16" x14ac:dyDescent="0.25">
      <c r="A8" s="2" t="s">
        <v>3</v>
      </c>
      <c r="B8" s="2" t="s">
        <v>50</v>
      </c>
      <c r="C8" s="2" t="s">
        <v>51</v>
      </c>
      <c r="D8" s="7" t="s">
        <v>52</v>
      </c>
      <c r="E8" s="3">
        <v>1202.17676890598</v>
      </c>
      <c r="F8" s="3">
        <v>2671.6021177723001</v>
      </c>
      <c r="G8" s="3">
        <v>2833.9730241430798</v>
      </c>
      <c r="H8" s="3">
        <v>6.0776604903340896</v>
      </c>
      <c r="I8" s="3">
        <v>135.73679823492901</v>
      </c>
      <c r="J8" s="2" t="s">
        <v>53</v>
      </c>
      <c r="K8" s="2" t="s">
        <v>27</v>
      </c>
      <c r="L8" s="3">
        <v>3600</v>
      </c>
      <c r="M8" s="2" t="s">
        <v>54</v>
      </c>
      <c r="N8" s="2" t="s">
        <v>29</v>
      </c>
      <c r="O8" s="3">
        <v>2381.15</v>
      </c>
      <c r="P8" s="2" t="s">
        <v>30</v>
      </c>
    </row>
    <row r="9" spans="1:16" x14ac:dyDescent="0.25">
      <c r="A9" s="2" t="s">
        <v>4</v>
      </c>
      <c r="B9" s="2" t="s">
        <v>50</v>
      </c>
      <c r="C9" s="2" t="s">
        <v>51</v>
      </c>
      <c r="D9" s="7" t="s">
        <v>52</v>
      </c>
      <c r="E9" s="3">
        <v>1254.89842158847</v>
      </c>
      <c r="F9" s="3">
        <v>2833.9730241430798</v>
      </c>
      <c r="G9" s="3">
        <v>2866.9150988280699</v>
      </c>
      <c r="H9" s="3">
        <v>1.1623990208923001</v>
      </c>
      <c r="I9" s="3">
        <v>128.45794125703699</v>
      </c>
      <c r="J9" s="2" t="s">
        <v>55</v>
      </c>
      <c r="K9" s="2" t="s">
        <v>27</v>
      </c>
      <c r="L9" s="3">
        <v>3600.65</v>
      </c>
      <c r="M9" s="2" t="s">
        <v>56</v>
      </c>
      <c r="N9" s="2" t="s">
        <v>29</v>
      </c>
      <c r="O9" s="3">
        <v>2431.1999999999998</v>
      </c>
      <c r="P9" s="2" t="s">
        <v>35</v>
      </c>
    </row>
    <row r="10" spans="1:16" x14ac:dyDescent="0.25">
      <c r="A10" s="2" t="s">
        <v>5</v>
      </c>
      <c r="B10" s="2" t="s">
        <v>50</v>
      </c>
      <c r="C10" s="2" t="s">
        <v>50</v>
      </c>
      <c r="D10" s="7" t="s">
        <v>52</v>
      </c>
      <c r="E10" s="3"/>
      <c r="F10" s="3"/>
      <c r="G10" s="3">
        <v>5878.1406466216204</v>
      </c>
      <c r="H10" s="3"/>
      <c r="I10" s="3"/>
      <c r="J10" s="2" t="s">
        <v>57</v>
      </c>
      <c r="K10" s="2" t="s">
        <v>37</v>
      </c>
      <c r="L10" s="3">
        <v>7000</v>
      </c>
      <c r="M10" s="2" t="s">
        <v>58</v>
      </c>
      <c r="N10" s="2" t="s">
        <v>59</v>
      </c>
      <c r="O10" s="3">
        <v>4613.0600000000004</v>
      </c>
      <c r="P10" s="2" t="s">
        <v>40</v>
      </c>
    </row>
    <row r="11" spans="1:16" x14ac:dyDescent="0.25">
      <c r="A11" s="2" t="s">
        <v>6</v>
      </c>
      <c r="B11" s="2" t="s">
        <v>50</v>
      </c>
      <c r="C11" s="2" t="s">
        <v>50</v>
      </c>
      <c r="D11" s="7" t="s">
        <v>52</v>
      </c>
      <c r="E11" s="3"/>
      <c r="F11" s="3">
        <v>5878.1406466216204</v>
      </c>
      <c r="G11" s="3">
        <v>5976.1158515450497</v>
      </c>
      <c r="H11" s="3">
        <v>1.66677204261407</v>
      </c>
      <c r="I11" s="3"/>
      <c r="J11" s="2" t="s">
        <v>60</v>
      </c>
      <c r="K11" s="2" t="s">
        <v>37</v>
      </c>
      <c r="L11" s="3">
        <v>7250</v>
      </c>
      <c r="M11" s="2" t="s">
        <v>61</v>
      </c>
      <c r="N11" s="2" t="s">
        <v>62</v>
      </c>
      <c r="O11" s="3">
        <v>5000</v>
      </c>
      <c r="P11" s="2" t="s">
        <v>42</v>
      </c>
    </row>
    <row r="12" spans="1:16" x14ac:dyDescent="0.25">
      <c r="A12" s="2" t="s">
        <v>7</v>
      </c>
      <c r="B12" s="2" t="s">
        <v>50</v>
      </c>
      <c r="C12" s="2" t="s">
        <v>50</v>
      </c>
      <c r="D12" s="7" t="s">
        <v>52</v>
      </c>
      <c r="E12" s="3"/>
      <c r="F12" s="3">
        <v>5976.1158515450497</v>
      </c>
      <c r="G12" s="3">
        <v>7670.5591900852696</v>
      </c>
      <c r="H12" s="3">
        <v>28.353589197942899</v>
      </c>
      <c r="I12" s="3"/>
      <c r="J12" s="2" t="s">
        <v>63</v>
      </c>
      <c r="K12" s="2" t="s">
        <v>37</v>
      </c>
      <c r="L12" s="3">
        <v>7930</v>
      </c>
      <c r="M12" s="2" t="s">
        <v>64</v>
      </c>
      <c r="N12" s="2" t="s">
        <v>59</v>
      </c>
      <c r="O12" s="3">
        <v>5300</v>
      </c>
      <c r="P12" s="2" t="s">
        <v>46</v>
      </c>
    </row>
    <row r="13" spans="1:16" x14ac:dyDescent="0.25">
      <c r="A13" s="2" t="s">
        <v>8</v>
      </c>
      <c r="B13" s="2" t="s">
        <v>50</v>
      </c>
      <c r="C13" s="2" t="s">
        <v>50</v>
      </c>
      <c r="D13" s="7" t="s">
        <v>52</v>
      </c>
      <c r="E13" s="3"/>
      <c r="F13" s="3">
        <v>7670.5591900852696</v>
      </c>
      <c r="G13" s="3">
        <v>6150.1780720720699</v>
      </c>
      <c r="H13" s="3">
        <v>-19.820994536857199</v>
      </c>
      <c r="I13" s="3"/>
      <c r="J13" s="2" t="s">
        <v>65</v>
      </c>
      <c r="K13" s="2" t="s">
        <v>37</v>
      </c>
      <c r="L13" s="3">
        <v>7869.33</v>
      </c>
      <c r="M13" s="2" t="s">
        <v>66</v>
      </c>
      <c r="N13" s="2" t="s">
        <v>67</v>
      </c>
      <c r="O13" s="3">
        <v>540</v>
      </c>
      <c r="P13" s="2" t="s">
        <v>49</v>
      </c>
    </row>
    <row r="14" spans="1:16" x14ac:dyDescent="0.25">
      <c r="A14" s="2" t="s">
        <v>3</v>
      </c>
      <c r="B14" s="2" t="s">
        <v>68</v>
      </c>
      <c r="C14" s="2" t="s">
        <v>69</v>
      </c>
      <c r="D14" s="6" t="s">
        <v>25</v>
      </c>
      <c r="E14" s="3">
        <v>838.84915060493097</v>
      </c>
      <c r="F14" s="3">
        <v>2798.4962083299001</v>
      </c>
      <c r="G14" s="3">
        <v>2720.9608418325502</v>
      </c>
      <c r="H14" s="3">
        <v>-2.7706082383305999</v>
      </c>
      <c r="I14" s="3">
        <v>224.36831340537699</v>
      </c>
      <c r="J14" s="2" t="s">
        <v>70</v>
      </c>
      <c r="K14" s="2" t="s">
        <v>32</v>
      </c>
      <c r="L14" s="3">
        <v>3675</v>
      </c>
      <c r="M14" s="2" t="s">
        <v>71</v>
      </c>
      <c r="N14" s="2" t="s">
        <v>39</v>
      </c>
      <c r="O14" s="3">
        <v>1925</v>
      </c>
      <c r="P14" s="2" t="s">
        <v>30</v>
      </c>
    </row>
    <row r="15" spans="1:16" x14ac:dyDescent="0.25">
      <c r="A15" s="2" t="s">
        <v>4</v>
      </c>
      <c r="B15" s="2" t="s">
        <v>68</v>
      </c>
      <c r="C15" s="2" t="s">
        <v>69</v>
      </c>
      <c r="D15" s="6" t="s">
        <v>25</v>
      </c>
      <c r="E15" s="3">
        <v>870.66794542311595</v>
      </c>
      <c r="F15" s="3">
        <v>2720.9608418325402</v>
      </c>
      <c r="G15" s="3">
        <v>2501.3235254572801</v>
      </c>
      <c r="H15" s="3">
        <v>-8.0720498802671692</v>
      </c>
      <c r="I15" s="3">
        <v>187.287884963046</v>
      </c>
      <c r="J15" s="2" t="s">
        <v>72</v>
      </c>
      <c r="K15" s="2" t="s">
        <v>32</v>
      </c>
      <c r="L15" s="3">
        <v>3500.32</v>
      </c>
      <c r="M15" s="2" t="s">
        <v>73</v>
      </c>
      <c r="N15" s="2" t="s">
        <v>74</v>
      </c>
      <c r="O15" s="3">
        <v>1755.63</v>
      </c>
      <c r="P15" s="2" t="s">
        <v>35</v>
      </c>
    </row>
    <row r="16" spans="1:16" x14ac:dyDescent="0.25">
      <c r="A16" s="2" t="s">
        <v>5</v>
      </c>
      <c r="B16" s="2" t="s">
        <v>68</v>
      </c>
      <c r="C16" s="2" t="s">
        <v>68</v>
      </c>
      <c r="D16" s="6" t="s">
        <v>25</v>
      </c>
      <c r="E16" s="3">
        <v>976.58407104610899</v>
      </c>
      <c r="F16" s="3">
        <v>2501.3235254572801</v>
      </c>
      <c r="G16" s="3">
        <v>2458.53328829572</v>
      </c>
      <c r="H16" s="3">
        <v>-1.71070382243884</v>
      </c>
      <c r="I16" s="3">
        <v>151.74824791706499</v>
      </c>
      <c r="J16" s="2" t="s">
        <v>75</v>
      </c>
      <c r="K16" s="2" t="s">
        <v>76</v>
      </c>
      <c r="L16" s="3">
        <v>3230.87</v>
      </c>
      <c r="M16" s="2" t="s">
        <v>77</v>
      </c>
      <c r="N16" s="2" t="s">
        <v>78</v>
      </c>
      <c r="O16" s="3">
        <v>1575.36</v>
      </c>
      <c r="P16" s="2" t="s">
        <v>40</v>
      </c>
    </row>
    <row r="17" spans="1:16" x14ac:dyDescent="0.25">
      <c r="A17" s="2" t="s">
        <v>6</v>
      </c>
      <c r="B17" s="2" t="s">
        <v>68</v>
      </c>
      <c r="C17" s="2" t="s">
        <v>68</v>
      </c>
      <c r="D17" s="6" t="s">
        <v>25</v>
      </c>
      <c r="E17" s="3">
        <v>1177.9257979919901</v>
      </c>
      <c r="F17" s="3">
        <v>2458.53328829572</v>
      </c>
      <c r="G17" s="3">
        <v>2465.9627716485402</v>
      </c>
      <c r="H17" s="3">
        <v>0.30219169242862598</v>
      </c>
      <c r="I17" s="3">
        <v>109.347887265248</v>
      </c>
      <c r="J17" s="2" t="s">
        <v>79</v>
      </c>
      <c r="K17" s="2" t="s">
        <v>80</v>
      </c>
      <c r="L17" s="3">
        <v>3200</v>
      </c>
      <c r="M17" s="2" t="s">
        <v>81</v>
      </c>
      <c r="N17" s="2" t="s">
        <v>78</v>
      </c>
      <c r="O17" s="3">
        <v>1572.83</v>
      </c>
      <c r="P17" s="2" t="s">
        <v>42</v>
      </c>
    </row>
    <row r="18" spans="1:16" x14ac:dyDescent="0.25">
      <c r="A18" s="2" t="s">
        <v>7</v>
      </c>
      <c r="B18" s="2" t="s">
        <v>68</v>
      </c>
      <c r="C18" s="2" t="s">
        <v>68</v>
      </c>
      <c r="D18" s="6" t="s">
        <v>25</v>
      </c>
      <c r="E18" s="3">
        <v>1234.4021850333099</v>
      </c>
      <c r="F18" s="3">
        <v>2465.9627716485402</v>
      </c>
      <c r="G18" s="3">
        <v>2616.2636109231798</v>
      </c>
      <c r="H18" s="3">
        <v>6.0950165591576502</v>
      </c>
      <c r="I18" s="3">
        <v>111.945801995853</v>
      </c>
      <c r="J18" s="2" t="s">
        <v>82</v>
      </c>
      <c r="K18" s="2" t="s">
        <v>76</v>
      </c>
      <c r="L18" s="3">
        <v>3651.13</v>
      </c>
      <c r="M18" s="2" t="s">
        <v>83</v>
      </c>
      <c r="N18" s="2" t="s">
        <v>78</v>
      </c>
      <c r="O18" s="3">
        <v>1634.36</v>
      </c>
      <c r="P18" s="2" t="s">
        <v>46</v>
      </c>
    </row>
    <row r="19" spans="1:16" x14ac:dyDescent="0.25">
      <c r="A19" s="2" t="s">
        <v>8</v>
      </c>
      <c r="B19" s="2" t="s">
        <v>68</v>
      </c>
      <c r="C19" s="2" t="s">
        <v>68</v>
      </c>
      <c r="D19" s="6" t="s">
        <v>25</v>
      </c>
      <c r="E19" s="3">
        <v>1387.9030212503001</v>
      </c>
      <c r="F19" s="3">
        <v>2616.2636109231798</v>
      </c>
      <c r="G19" s="3">
        <v>2429.3885720073299</v>
      </c>
      <c r="H19" s="3">
        <v>-7.1428214701160799</v>
      </c>
      <c r="I19" s="3">
        <v>75.040225059730801</v>
      </c>
      <c r="J19" s="2" t="s">
        <v>84</v>
      </c>
      <c r="K19" s="2" t="s">
        <v>76</v>
      </c>
      <c r="L19" s="3">
        <v>3600</v>
      </c>
      <c r="M19" s="2" t="s">
        <v>85</v>
      </c>
      <c r="N19" s="2" t="s">
        <v>78</v>
      </c>
      <c r="O19" s="3">
        <v>1658.02</v>
      </c>
      <c r="P19" s="2" t="s">
        <v>49</v>
      </c>
    </row>
    <row r="20" spans="1:16" x14ac:dyDescent="0.25">
      <c r="A20" s="2" t="s">
        <v>3</v>
      </c>
      <c r="B20" s="2" t="s">
        <v>86</v>
      </c>
      <c r="C20" s="2" t="s">
        <v>87</v>
      </c>
      <c r="D20" s="6" t="s">
        <v>25</v>
      </c>
      <c r="E20" s="3">
        <v>800.48677297256404</v>
      </c>
      <c r="F20" s="3">
        <v>2603.3180291153199</v>
      </c>
      <c r="G20" s="3">
        <v>2546.70254553512</v>
      </c>
      <c r="H20" s="3">
        <v>-2.1747432678996299</v>
      </c>
      <c r="I20" s="3">
        <v>218.144238171241</v>
      </c>
      <c r="J20" s="2" t="s">
        <v>88</v>
      </c>
      <c r="K20" s="2" t="s">
        <v>80</v>
      </c>
      <c r="L20" s="3">
        <v>3157.2</v>
      </c>
      <c r="M20" s="2" t="s">
        <v>89</v>
      </c>
      <c r="N20" s="2" t="s">
        <v>39</v>
      </c>
      <c r="O20" s="3">
        <v>1750</v>
      </c>
      <c r="P20" s="2" t="s">
        <v>30</v>
      </c>
    </row>
    <row r="21" spans="1:16" x14ac:dyDescent="0.25">
      <c r="A21" s="2" t="s">
        <v>4</v>
      </c>
      <c r="B21" s="2" t="s">
        <v>86</v>
      </c>
      <c r="C21" s="2" t="s">
        <v>87</v>
      </c>
      <c r="D21" s="6" t="s">
        <v>25</v>
      </c>
      <c r="E21" s="3">
        <v>829.861926891199</v>
      </c>
      <c r="F21" s="3">
        <v>2546.70254553512</v>
      </c>
      <c r="G21" s="3">
        <v>2319.0422043194098</v>
      </c>
      <c r="H21" s="3">
        <v>-8.9394162508238804</v>
      </c>
      <c r="I21" s="3">
        <v>179.44916246572799</v>
      </c>
      <c r="J21" s="2" t="s">
        <v>90</v>
      </c>
      <c r="K21" s="2" t="s">
        <v>91</v>
      </c>
      <c r="L21" s="3">
        <v>3176.63</v>
      </c>
      <c r="M21" s="2" t="s">
        <v>92</v>
      </c>
      <c r="N21" s="2" t="s">
        <v>74</v>
      </c>
      <c r="O21" s="3">
        <v>1534.59</v>
      </c>
      <c r="P21" s="2" t="s">
        <v>35</v>
      </c>
    </row>
    <row r="22" spans="1:16" x14ac:dyDescent="0.25">
      <c r="A22" s="2" t="s">
        <v>5</v>
      </c>
      <c r="B22" s="2" t="s">
        <v>86</v>
      </c>
      <c r="C22" s="2" t="s">
        <v>86</v>
      </c>
      <c r="D22" s="6" t="s">
        <v>25</v>
      </c>
      <c r="E22" s="3">
        <v>921.37822431816505</v>
      </c>
      <c r="F22" s="3">
        <v>2319.0422043194098</v>
      </c>
      <c r="G22" s="3">
        <v>2123.8529942048899</v>
      </c>
      <c r="H22" s="3">
        <v>-8.4168028400241699</v>
      </c>
      <c r="I22" s="3">
        <v>130.50826882484401</v>
      </c>
      <c r="J22" s="2" t="s">
        <v>93</v>
      </c>
      <c r="K22" s="2" t="s">
        <v>37</v>
      </c>
      <c r="L22" s="3">
        <v>2722.76</v>
      </c>
      <c r="M22" s="2" t="s">
        <v>94</v>
      </c>
      <c r="N22" s="2" t="s">
        <v>78</v>
      </c>
      <c r="O22" s="3">
        <v>1370.59</v>
      </c>
      <c r="P22" s="2" t="s">
        <v>40</v>
      </c>
    </row>
    <row r="23" spans="1:16" x14ac:dyDescent="0.25">
      <c r="A23" s="2" t="s">
        <v>6</v>
      </c>
      <c r="B23" s="2" t="s">
        <v>86</v>
      </c>
      <c r="C23" s="2" t="s">
        <v>86</v>
      </c>
      <c r="D23" s="6" t="s">
        <v>25</v>
      </c>
      <c r="E23" s="3">
        <v>1156.82214217098</v>
      </c>
      <c r="F23" s="3">
        <v>2123.8529942048899</v>
      </c>
      <c r="G23" s="3">
        <v>2114.3292357077398</v>
      </c>
      <c r="H23" s="3">
        <v>-0.44841891237925502</v>
      </c>
      <c r="I23" s="3">
        <v>82.770467354629602</v>
      </c>
      <c r="J23" s="2" t="s">
        <v>95</v>
      </c>
      <c r="K23" s="2" t="s">
        <v>76</v>
      </c>
      <c r="L23" s="3">
        <v>2825.33</v>
      </c>
      <c r="M23" s="2" t="s">
        <v>96</v>
      </c>
      <c r="N23" s="2" t="s">
        <v>74</v>
      </c>
      <c r="O23" s="3">
        <v>1371.48</v>
      </c>
      <c r="P23" s="2" t="s">
        <v>42</v>
      </c>
    </row>
    <row r="24" spans="1:16" x14ac:dyDescent="0.25">
      <c r="A24" s="2" t="s">
        <v>7</v>
      </c>
      <c r="B24" s="2" t="s">
        <v>86</v>
      </c>
      <c r="C24" s="2" t="s">
        <v>86</v>
      </c>
      <c r="D24" s="6" t="s">
        <v>25</v>
      </c>
      <c r="E24" s="3">
        <v>1192.21581263648</v>
      </c>
      <c r="F24" s="3">
        <v>2114.3292357077398</v>
      </c>
      <c r="G24" s="3">
        <v>2215.1070570947099</v>
      </c>
      <c r="H24" s="3">
        <v>4.7664204649391397</v>
      </c>
      <c r="I24" s="3">
        <v>85.797490153749493</v>
      </c>
      <c r="J24" s="2" t="s">
        <v>97</v>
      </c>
      <c r="K24" s="2" t="s">
        <v>37</v>
      </c>
      <c r="L24" s="3">
        <v>3122.19</v>
      </c>
      <c r="M24" s="2" t="s">
        <v>98</v>
      </c>
      <c r="N24" s="2" t="s">
        <v>91</v>
      </c>
      <c r="O24" s="3">
        <v>1521.57</v>
      </c>
      <c r="P24" s="2" t="s">
        <v>46</v>
      </c>
    </row>
    <row r="25" spans="1:16" x14ac:dyDescent="0.25">
      <c r="A25" s="2" t="s">
        <v>8</v>
      </c>
      <c r="B25" s="2" t="s">
        <v>86</v>
      </c>
      <c r="C25" s="2" t="s">
        <v>86</v>
      </c>
      <c r="D25" s="6" t="s">
        <v>25</v>
      </c>
      <c r="E25" s="3">
        <v>1313.47897460487</v>
      </c>
      <c r="F25" s="3">
        <v>2215.1070570947099</v>
      </c>
      <c r="G25" s="3">
        <v>2097.3099314450801</v>
      </c>
      <c r="H25" s="3">
        <v>-5.3178976281233803</v>
      </c>
      <c r="I25" s="3">
        <v>59.675942439505199</v>
      </c>
      <c r="J25" s="2" t="s">
        <v>99</v>
      </c>
      <c r="K25" s="2" t="s">
        <v>37</v>
      </c>
      <c r="L25" s="3">
        <v>3100</v>
      </c>
      <c r="M25" s="2" t="s">
        <v>100</v>
      </c>
      <c r="N25" s="2" t="s">
        <v>45</v>
      </c>
      <c r="O25" s="3">
        <v>1503.96</v>
      </c>
      <c r="P25" s="2" t="s">
        <v>49</v>
      </c>
    </row>
    <row r="26" spans="1:16" x14ac:dyDescent="0.25">
      <c r="A26" s="2" t="s">
        <v>3</v>
      </c>
      <c r="B26" s="2" t="s">
        <v>101</v>
      </c>
      <c r="C26" s="2" t="s">
        <v>101</v>
      </c>
      <c r="D26" s="8" t="s">
        <v>102</v>
      </c>
      <c r="E26" s="3">
        <v>2630.0152354513102</v>
      </c>
      <c r="F26" s="3">
        <v>4914.6218834458696</v>
      </c>
      <c r="G26" s="3">
        <v>5073.7358123538697</v>
      </c>
      <c r="H26" s="3">
        <v>3.2375619667496198</v>
      </c>
      <c r="I26" s="3">
        <v>92.916593940689395</v>
      </c>
      <c r="J26" s="2" t="s">
        <v>103</v>
      </c>
      <c r="K26" s="2" t="s">
        <v>59</v>
      </c>
      <c r="L26" s="3">
        <v>6244.03</v>
      </c>
      <c r="M26" s="2" t="s">
        <v>104</v>
      </c>
      <c r="N26" s="2" t="s">
        <v>105</v>
      </c>
      <c r="O26" s="3">
        <v>3650.97</v>
      </c>
      <c r="P26" s="2" t="s">
        <v>30</v>
      </c>
    </row>
    <row r="27" spans="1:16" x14ac:dyDescent="0.25">
      <c r="A27" s="2" t="s">
        <v>4</v>
      </c>
      <c r="B27" s="2" t="s">
        <v>101</v>
      </c>
      <c r="C27" s="2" t="s">
        <v>101</v>
      </c>
      <c r="D27" s="8" t="s">
        <v>102</v>
      </c>
      <c r="E27" s="3">
        <v>2696.8788073791302</v>
      </c>
      <c r="F27" s="3">
        <v>5073.7358123538697</v>
      </c>
      <c r="G27" s="3">
        <v>5153.1848804249303</v>
      </c>
      <c r="H27" s="3">
        <v>1.56588894277091</v>
      </c>
      <c r="I27" s="3">
        <v>91.079586755063104</v>
      </c>
      <c r="J27" s="2" t="s">
        <v>106</v>
      </c>
      <c r="K27" s="2" t="s">
        <v>107</v>
      </c>
      <c r="L27" s="3">
        <v>6466.67</v>
      </c>
      <c r="M27" s="2" t="s">
        <v>108</v>
      </c>
      <c r="N27" s="2" t="s">
        <v>76</v>
      </c>
      <c r="O27" s="3">
        <v>3792.87</v>
      </c>
      <c r="P27" s="2" t="s">
        <v>35</v>
      </c>
    </row>
    <row r="28" spans="1:16" x14ac:dyDescent="0.25">
      <c r="A28" s="2" t="s">
        <v>3</v>
      </c>
      <c r="B28" s="2" t="s">
        <v>109</v>
      </c>
      <c r="C28" s="2" t="s">
        <v>110</v>
      </c>
      <c r="D28" s="6" t="s">
        <v>25</v>
      </c>
      <c r="E28" s="3">
        <v>3029.50097242725</v>
      </c>
      <c r="F28" s="3">
        <v>5858.5767455405603</v>
      </c>
      <c r="G28" s="3">
        <v>6001.3163065393601</v>
      </c>
      <c r="H28" s="3">
        <v>2.4364204344929101</v>
      </c>
      <c r="I28" s="3">
        <v>98.095869952174894</v>
      </c>
      <c r="J28" s="2" t="s">
        <v>111</v>
      </c>
      <c r="K28" s="2" t="s">
        <v>37</v>
      </c>
      <c r="L28" s="3">
        <v>7020.85</v>
      </c>
      <c r="M28" s="2" t="s">
        <v>112</v>
      </c>
      <c r="N28" s="2" t="s">
        <v>74</v>
      </c>
      <c r="O28" s="3">
        <v>4800</v>
      </c>
      <c r="P28" s="2" t="s">
        <v>30</v>
      </c>
    </row>
    <row r="29" spans="1:16" x14ac:dyDescent="0.25">
      <c r="A29" s="2" t="s">
        <v>4</v>
      </c>
      <c r="B29" s="2" t="s">
        <v>109</v>
      </c>
      <c r="C29" s="2" t="s">
        <v>110</v>
      </c>
      <c r="D29" s="6" t="s">
        <v>25</v>
      </c>
      <c r="E29" s="3">
        <v>3146.9394335001102</v>
      </c>
      <c r="F29" s="3">
        <v>6001.3163065393501</v>
      </c>
      <c r="G29" s="3">
        <v>6150.1828826503897</v>
      </c>
      <c r="H29" s="3">
        <v>2.48056540444014</v>
      </c>
      <c r="I29" s="3">
        <v>95.433786147259696</v>
      </c>
      <c r="J29" s="2" t="s">
        <v>113</v>
      </c>
      <c r="K29" s="2" t="s">
        <v>37</v>
      </c>
      <c r="L29" s="3">
        <v>7316.2</v>
      </c>
      <c r="M29" s="2" t="s">
        <v>114</v>
      </c>
      <c r="N29" s="2" t="s">
        <v>29</v>
      </c>
      <c r="O29" s="3">
        <v>5041.6000000000004</v>
      </c>
      <c r="P29" s="2" t="s">
        <v>35</v>
      </c>
    </row>
    <row r="30" spans="1:16" x14ac:dyDescent="0.25">
      <c r="A30" s="2" t="s">
        <v>5</v>
      </c>
      <c r="B30" s="2" t="s">
        <v>109</v>
      </c>
      <c r="C30" s="2" t="s">
        <v>109</v>
      </c>
      <c r="D30" s="6" t="s">
        <v>25</v>
      </c>
      <c r="E30" s="3">
        <v>3315.7811060455301</v>
      </c>
      <c r="F30" s="3">
        <v>6150.1828826503897</v>
      </c>
      <c r="G30" s="3">
        <v>6122.5682943123202</v>
      </c>
      <c r="H30" s="3">
        <v>-0.44900434450441001</v>
      </c>
      <c r="I30" s="3">
        <v>84.649351042784104</v>
      </c>
      <c r="J30" s="2" t="s">
        <v>115</v>
      </c>
      <c r="K30" s="2" t="s">
        <v>116</v>
      </c>
      <c r="L30" s="3">
        <v>8239.82</v>
      </c>
      <c r="M30" s="2" t="s">
        <v>117</v>
      </c>
      <c r="N30" s="2" t="s">
        <v>118</v>
      </c>
      <c r="O30" s="3">
        <v>4200</v>
      </c>
      <c r="P30" s="2" t="s">
        <v>40</v>
      </c>
    </row>
    <row r="31" spans="1:16" x14ac:dyDescent="0.25">
      <c r="A31" s="2" t="s">
        <v>6</v>
      </c>
      <c r="B31" s="2" t="s">
        <v>109</v>
      </c>
      <c r="C31" s="2" t="s">
        <v>109</v>
      </c>
      <c r="D31" s="6" t="s">
        <v>25</v>
      </c>
      <c r="E31" s="3">
        <v>3654.5612252640499</v>
      </c>
      <c r="F31" s="3">
        <v>6122.5682943123202</v>
      </c>
      <c r="G31" s="3">
        <v>6269.45881945785</v>
      </c>
      <c r="H31" s="3">
        <v>2.3991651556093498</v>
      </c>
      <c r="I31" s="3">
        <v>71.551615447484195</v>
      </c>
      <c r="J31" s="2" t="s">
        <v>119</v>
      </c>
      <c r="K31" s="2" t="s">
        <v>116</v>
      </c>
      <c r="L31" s="3">
        <v>8392.86</v>
      </c>
      <c r="M31" s="2" t="s">
        <v>120</v>
      </c>
      <c r="N31" s="2" t="s">
        <v>118</v>
      </c>
      <c r="O31" s="3">
        <v>4250</v>
      </c>
      <c r="P31" s="2" t="s">
        <v>42</v>
      </c>
    </row>
    <row r="32" spans="1:16" x14ac:dyDescent="0.25">
      <c r="A32" s="2" t="s">
        <v>7</v>
      </c>
      <c r="B32" s="2" t="s">
        <v>109</v>
      </c>
      <c r="C32" s="2" t="s">
        <v>109</v>
      </c>
      <c r="D32" s="6" t="s">
        <v>25</v>
      </c>
      <c r="E32" s="3">
        <v>4309.1643195464203</v>
      </c>
      <c r="F32" s="3">
        <v>6269.45881945785</v>
      </c>
      <c r="G32" s="3">
        <v>6523.5009907142503</v>
      </c>
      <c r="H32" s="3">
        <v>4.0520590145350104</v>
      </c>
      <c r="I32" s="3">
        <v>51.386684446531198</v>
      </c>
      <c r="J32" s="2" t="s">
        <v>121</v>
      </c>
      <c r="K32" s="2" t="s">
        <v>116</v>
      </c>
      <c r="L32" s="3">
        <v>8569.93</v>
      </c>
      <c r="M32" s="2" t="s">
        <v>122</v>
      </c>
      <c r="N32" s="2" t="s">
        <v>74</v>
      </c>
      <c r="O32" s="3">
        <v>5250</v>
      </c>
      <c r="P32" s="2" t="s">
        <v>46</v>
      </c>
    </row>
    <row r="33" spans="1:16" x14ac:dyDescent="0.25">
      <c r="A33" s="2" t="s">
        <v>8</v>
      </c>
      <c r="B33" s="2" t="s">
        <v>109</v>
      </c>
      <c r="C33" s="2" t="s">
        <v>109</v>
      </c>
      <c r="D33" s="6" t="s">
        <v>25</v>
      </c>
      <c r="E33" s="3">
        <v>4711.6469536859704</v>
      </c>
      <c r="F33" s="3">
        <v>6523.5009907142503</v>
      </c>
      <c r="G33" s="3">
        <v>6544.5368584491798</v>
      </c>
      <c r="H33" s="3">
        <v>0.322462857978698</v>
      </c>
      <c r="I33" s="3">
        <v>38.901257305140703</v>
      </c>
      <c r="J33" s="2" t="s">
        <v>123</v>
      </c>
      <c r="K33" s="2" t="s">
        <v>76</v>
      </c>
      <c r="L33" s="3">
        <v>8673.77</v>
      </c>
      <c r="M33" s="2" t="s">
        <v>124</v>
      </c>
      <c r="N33" s="2" t="s">
        <v>74</v>
      </c>
      <c r="O33" s="3">
        <v>5300</v>
      </c>
      <c r="P33" s="2" t="s">
        <v>49</v>
      </c>
    </row>
    <row r="34" spans="1:16" x14ac:dyDescent="0.25">
      <c r="A34" s="2" t="s">
        <v>3</v>
      </c>
      <c r="B34" s="2" t="s">
        <v>125</v>
      </c>
      <c r="C34" s="2" t="s">
        <v>126</v>
      </c>
      <c r="D34" s="7" t="s">
        <v>52</v>
      </c>
      <c r="E34" s="3">
        <v>814.53124546624497</v>
      </c>
      <c r="F34" s="3">
        <v>1550.2427261544999</v>
      </c>
      <c r="G34" s="3">
        <v>1588.02666383821</v>
      </c>
      <c r="H34" s="3">
        <v>2.4372917251114399</v>
      </c>
      <c r="I34" s="3">
        <v>94.962031558311395</v>
      </c>
      <c r="J34" s="2" t="s">
        <v>127</v>
      </c>
      <c r="K34" s="2" t="s">
        <v>128</v>
      </c>
      <c r="L34" s="3">
        <v>1881.67</v>
      </c>
      <c r="M34" s="2" t="s">
        <v>129</v>
      </c>
      <c r="N34" s="2" t="s">
        <v>74</v>
      </c>
      <c r="O34" s="3">
        <v>1120.4000000000001</v>
      </c>
      <c r="P34" s="2" t="s">
        <v>30</v>
      </c>
    </row>
    <row r="35" spans="1:16" x14ac:dyDescent="0.25">
      <c r="A35" s="2" t="s">
        <v>4</v>
      </c>
      <c r="B35" s="2" t="s">
        <v>125</v>
      </c>
      <c r="C35" s="2" t="s">
        <v>126</v>
      </c>
      <c r="D35" s="7" t="s">
        <v>52</v>
      </c>
      <c r="E35" s="3">
        <v>855.04745804083302</v>
      </c>
      <c r="F35" s="3">
        <v>1588.02666383821</v>
      </c>
      <c r="G35" s="3">
        <v>1610.8261641694201</v>
      </c>
      <c r="H35" s="3">
        <v>1.4357126898679899</v>
      </c>
      <c r="I35" s="3">
        <v>88.390264074967305</v>
      </c>
      <c r="J35" s="2" t="s">
        <v>130</v>
      </c>
      <c r="K35" s="2" t="s">
        <v>107</v>
      </c>
      <c r="L35" s="3">
        <v>1890</v>
      </c>
      <c r="M35" s="2" t="s">
        <v>131</v>
      </c>
      <c r="N35" s="2" t="s">
        <v>118</v>
      </c>
      <c r="O35" s="3">
        <v>1299.01</v>
      </c>
      <c r="P35" s="2" t="s">
        <v>35</v>
      </c>
    </row>
    <row r="36" spans="1:16" x14ac:dyDescent="0.25">
      <c r="A36" s="2" t="s">
        <v>5</v>
      </c>
      <c r="B36" s="2" t="s">
        <v>125</v>
      </c>
      <c r="C36" s="2" t="s">
        <v>125</v>
      </c>
      <c r="D36" s="7" t="s">
        <v>52</v>
      </c>
      <c r="E36" s="3"/>
      <c r="F36" s="3"/>
      <c r="G36" s="3">
        <v>1604.7842497597601</v>
      </c>
      <c r="H36" s="3"/>
      <c r="I36" s="3"/>
      <c r="J36" s="2" t="s">
        <v>132</v>
      </c>
      <c r="K36" s="2" t="s">
        <v>133</v>
      </c>
      <c r="L36" s="3">
        <v>1950</v>
      </c>
      <c r="M36" s="2" t="s">
        <v>134</v>
      </c>
      <c r="N36" s="2" t="s">
        <v>135</v>
      </c>
      <c r="O36" s="3">
        <v>1300</v>
      </c>
      <c r="P36" s="2" t="s">
        <v>40</v>
      </c>
    </row>
    <row r="37" spans="1:16" x14ac:dyDescent="0.25">
      <c r="A37" s="2" t="s">
        <v>6</v>
      </c>
      <c r="B37" s="2" t="s">
        <v>125</v>
      </c>
      <c r="C37" s="2" t="s">
        <v>125</v>
      </c>
      <c r="D37" s="7" t="s">
        <v>52</v>
      </c>
      <c r="E37" s="3"/>
      <c r="F37" s="3">
        <v>1604.7842497597601</v>
      </c>
      <c r="G37" s="3">
        <v>1633.18538583033</v>
      </c>
      <c r="H37" s="3">
        <v>1.76977908867328</v>
      </c>
      <c r="I37" s="3"/>
      <c r="J37" s="2" t="s">
        <v>132</v>
      </c>
      <c r="K37" s="2" t="s">
        <v>133</v>
      </c>
      <c r="L37" s="3">
        <v>1950</v>
      </c>
      <c r="M37" s="2" t="s">
        <v>136</v>
      </c>
      <c r="N37" s="2" t="s">
        <v>135</v>
      </c>
      <c r="O37" s="3">
        <v>1256.25</v>
      </c>
      <c r="P37" s="2" t="s">
        <v>42</v>
      </c>
    </row>
    <row r="38" spans="1:16" x14ac:dyDescent="0.25">
      <c r="A38" s="2" t="s">
        <v>7</v>
      </c>
      <c r="B38" s="2" t="s">
        <v>125</v>
      </c>
      <c r="C38" s="2" t="s">
        <v>125</v>
      </c>
      <c r="D38" s="7" t="s">
        <v>52</v>
      </c>
      <c r="E38" s="3"/>
      <c r="F38" s="3">
        <v>1633.18538583033</v>
      </c>
      <c r="G38" s="3">
        <v>1680.17469739189</v>
      </c>
      <c r="H38" s="3">
        <v>2.8771572394197</v>
      </c>
      <c r="I38" s="3"/>
      <c r="J38" s="2" t="s">
        <v>137</v>
      </c>
      <c r="K38" s="2" t="s">
        <v>133</v>
      </c>
      <c r="L38" s="3">
        <v>2187.92</v>
      </c>
      <c r="M38" s="2" t="s">
        <v>136</v>
      </c>
      <c r="N38" s="2" t="s">
        <v>135</v>
      </c>
      <c r="O38" s="3">
        <v>1256.25</v>
      </c>
      <c r="P38" s="2" t="s">
        <v>46</v>
      </c>
    </row>
    <row r="39" spans="1:16" x14ac:dyDescent="0.25">
      <c r="A39" s="2" t="s">
        <v>8</v>
      </c>
      <c r="B39" s="2" t="s">
        <v>125</v>
      </c>
      <c r="C39" s="2" t="s">
        <v>125</v>
      </c>
      <c r="D39" s="7" t="s">
        <v>52</v>
      </c>
      <c r="E39" s="3"/>
      <c r="F39" s="3">
        <v>1680.17469739189</v>
      </c>
      <c r="G39" s="3">
        <v>1688.39984573376</v>
      </c>
      <c r="H39" s="3">
        <v>0.48954125750331101</v>
      </c>
      <c r="I39" s="3"/>
      <c r="J39" s="2" t="s">
        <v>137</v>
      </c>
      <c r="K39" s="2" t="s">
        <v>133</v>
      </c>
      <c r="L39" s="3">
        <v>2187.92</v>
      </c>
      <c r="M39" s="2" t="s">
        <v>136</v>
      </c>
      <c r="N39" s="2" t="s">
        <v>135</v>
      </c>
      <c r="O39" s="3">
        <v>1256.25</v>
      </c>
      <c r="P39" s="2" t="s">
        <v>49</v>
      </c>
    </row>
    <row r="40" spans="1:16" x14ac:dyDescent="0.25">
      <c r="A40" s="2" t="s">
        <v>3</v>
      </c>
      <c r="B40" s="2" t="s">
        <v>138</v>
      </c>
      <c r="C40" s="2" t="s">
        <v>139</v>
      </c>
      <c r="D40" s="7" t="s">
        <v>52</v>
      </c>
      <c r="E40" s="3">
        <v>795.82989255489304</v>
      </c>
      <c r="F40" s="3">
        <v>1454.43619563583</v>
      </c>
      <c r="G40" s="3">
        <v>1486.2466029906</v>
      </c>
      <c r="H40" s="3">
        <v>2.1871297929893299</v>
      </c>
      <c r="I40" s="3">
        <v>86.754307282832798</v>
      </c>
      <c r="J40" s="2" t="s">
        <v>140</v>
      </c>
      <c r="K40" s="2" t="s">
        <v>141</v>
      </c>
      <c r="L40" s="3">
        <v>1805.42</v>
      </c>
      <c r="M40" s="2" t="s">
        <v>142</v>
      </c>
      <c r="N40" s="2" t="s">
        <v>29</v>
      </c>
      <c r="O40" s="3">
        <v>1053.56</v>
      </c>
      <c r="P40" s="2" t="s">
        <v>30</v>
      </c>
    </row>
    <row r="41" spans="1:16" x14ac:dyDescent="0.25">
      <c r="A41" s="2" t="s">
        <v>4</v>
      </c>
      <c r="B41" s="2" t="s">
        <v>138</v>
      </c>
      <c r="C41" s="2" t="s">
        <v>139</v>
      </c>
      <c r="D41" s="7" t="s">
        <v>52</v>
      </c>
      <c r="E41" s="3">
        <v>815.10930657579604</v>
      </c>
      <c r="F41" s="3">
        <v>1486.2466029906</v>
      </c>
      <c r="G41" s="3">
        <v>1512.1275136475199</v>
      </c>
      <c r="H41" s="3">
        <v>1.7413604582736399</v>
      </c>
      <c r="I41" s="3">
        <v>85.512237616305995</v>
      </c>
      <c r="J41" s="2" t="s">
        <v>143</v>
      </c>
      <c r="K41" s="2" t="s">
        <v>141</v>
      </c>
      <c r="L41" s="3">
        <v>1823.75</v>
      </c>
      <c r="M41" s="2" t="s">
        <v>144</v>
      </c>
      <c r="N41" s="2" t="s">
        <v>74</v>
      </c>
      <c r="O41" s="3">
        <v>1112.8699999999999</v>
      </c>
      <c r="P41" s="2" t="s">
        <v>35</v>
      </c>
    </row>
    <row r="42" spans="1:16" x14ac:dyDescent="0.25">
      <c r="A42" s="2" t="s">
        <v>5</v>
      </c>
      <c r="B42" s="2" t="s">
        <v>138</v>
      </c>
      <c r="C42" s="2" t="s">
        <v>138</v>
      </c>
      <c r="D42" s="7" t="s">
        <v>52</v>
      </c>
      <c r="E42" s="3"/>
      <c r="F42" s="3"/>
      <c r="G42" s="3">
        <v>1452.9829733163899</v>
      </c>
      <c r="H42" s="3"/>
      <c r="I42" s="3"/>
      <c r="J42" s="2" t="s">
        <v>145</v>
      </c>
      <c r="K42" s="2" t="s">
        <v>107</v>
      </c>
      <c r="L42" s="3">
        <v>1800</v>
      </c>
      <c r="M42" s="2" t="s">
        <v>146</v>
      </c>
      <c r="N42" s="2" t="s">
        <v>74</v>
      </c>
      <c r="O42" s="3">
        <v>900</v>
      </c>
      <c r="P42" s="2" t="s">
        <v>40</v>
      </c>
    </row>
    <row r="43" spans="1:16" x14ac:dyDescent="0.25">
      <c r="A43" s="2" t="s">
        <v>6</v>
      </c>
      <c r="B43" s="2" t="s">
        <v>138</v>
      </c>
      <c r="C43" s="2" t="s">
        <v>138</v>
      </c>
      <c r="D43" s="7" t="s">
        <v>52</v>
      </c>
      <c r="E43" s="3"/>
      <c r="F43" s="3">
        <v>1452.9829733163899</v>
      </c>
      <c r="G43" s="3">
        <v>1497.4271531464999</v>
      </c>
      <c r="H43" s="3">
        <v>3.0588231690474101</v>
      </c>
      <c r="I43" s="3"/>
      <c r="J43" s="2" t="s">
        <v>147</v>
      </c>
      <c r="K43" s="2" t="s">
        <v>107</v>
      </c>
      <c r="L43" s="3">
        <v>1900</v>
      </c>
      <c r="M43" s="2" t="s">
        <v>146</v>
      </c>
      <c r="N43" s="2" t="s">
        <v>74</v>
      </c>
      <c r="O43" s="3">
        <v>900</v>
      </c>
      <c r="P43" s="2" t="s">
        <v>42</v>
      </c>
    </row>
    <row r="44" spans="1:16" x14ac:dyDescent="0.25">
      <c r="A44" s="2" t="s">
        <v>7</v>
      </c>
      <c r="B44" s="2" t="s">
        <v>138</v>
      </c>
      <c r="C44" s="2" t="s">
        <v>138</v>
      </c>
      <c r="D44" s="7" t="s">
        <v>52</v>
      </c>
      <c r="E44" s="3"/>
      <c r="F44" s="3">
        <v>1497.4271531464999</v>
      </c>
      <c r="G44" s="3">
        <v>1561.2438133998</v>
      </c>
      <c r="H44" s="3">
        <v>4.2617539103121604</v>
      </c>
      <c r="I44" s="3"/>
      <c r="J44" s="2" t="s">
        <v>148</v>
      </c>
      <c r="K44" s="2" t="s">
        <v>80</v>
      </c>
      <c r="L44" s="3">
        <v>1908.56</v>
      </c>
      <c r="M44" s="2" t="s">
        <v>149</v>
      </c>
      <c r="N44" s="2" t="s">
        <v>74</v>
      </c>
      <c r="O44" s="3">
        <v>960</v>
      </c>
      <c r="P44" s="2" t="s">
        <v>46</v>
      </c>
    </row>
    <row r="45" spans="1:16" x14ac:dyDescent="0.25">
      <c r="A45" s="2" t="s">
        <v>8</v>
      </c>
      <c r="B45" s="2" t="s">
        <v>138</v>
      </c>
      <c r="C45" s="2" t="s">
        <v>138</v>
      </c>
      <c r="D45" s="7" t="s">
        <v>52</v>
      </c>
      <c r="E45" s="3"/>
      <c r="F45" s="3">
        <v>1561.2438133998</v>
      </c>
      <c r="G45" s="3">
        <v>1547.5179018418</v>
      </c>
      <c r="H45" s="3">
        <v>-0.87916515282223795</v>
      </c>
      <c r="I45" s="3"/>
      <c r="J45" s="2" t="s">
        <v>150</v>
      </c>
      <c r="K45" s="2" t="s">
        <v>80</v>
      </c>
      <c r="L45" s="3">
        <v>1922.3</v>
      </c>
      <c r="M45" s="2" t="s">
        <v>151</v>
      </c>
      <c r="N45" s="2" t="s">
        <v>152</v>
      </c>
      <c r="O45" s="3">
        <v>1000</v>
      </c>
      <c r="P45" s="2" t="s">
        <v>49</v>
      </c>
    </row>
    <row r="46" spans="1:16" x14ac:dyDescent="0.25">
      <c r="A46" s="2" t="s">
        <v>5</v>
      </c>
      <c r="B46" s="2" t="s">
        <v>153</v>
      </c>
      <c r="C46" s="2" t="s">
        <v>153</v>
      </c>
      <c r="D46" s="9" t="s">
        <v>154</v>
      </c>
      <c r="E46" s="3"/>
      <c r="F46" s="3"/>
      <c r="G46" s="3">
        <v>1787.16145133333</v>
      </c>
      <c r="H46" s="3"/>
      <c r="I46" s="3"/>
      <c r="J46" s="2" t="s">
        <v>155</v>
      </c>
      <c r="K46" s="2" t="s">
        <v>156</v>
      </c>
      <c r="L46" s="3">
        <v>2572.73</v>
      </c>
      <c r="M46" s="2" t="s">
        <v>157</v>
      </c>
      <c r="N46" s="2" t="s">
        <v>118</v>
      </c>
      <c r="O46" s="3">
        <v>1400</v>
      </c>
      <c r="P46" s="2" t="s">
        <v>40</v>
      </c>
    </row>
    <row r="47" spans="1:16" x14ac:dyDescent="0.25">
      <c r="A47" s="2" t="s">
        <v>6</v>
      </c>
      <c r="B47" s="2" t="s">
        <v>153</v>
      </c>
      <c r="C47" s="2" t="s">
        <v>153</v>
      </c>
      <c r="D47" s="9" t="s">
        <v>154</v>
      </c>
      <c r="E47" s="3"/>
      <c r="F47" s="3">
        <v>1787.16145133333</v>
      </c>
      <c r="G47" s="3">
        <v>1838.5928269118201</v>
      </c>
      <c r="H47" s="3">
        <v>2.8778248064896501</v>
      </c>
      <c r="I47" s="3"/>
      <c r="J47" s="2" t="s">
        <v>158</v>
      </c>
      <c r="K47" s="2" t="s">
        <v>116</v>
      </c>
      <c r="L47" s="3">
        <v>2557.14</v>
      </c>
      <c r="M47" s="2" t="s">
        <v>159</v>
      </c>
      <c r="N47" s="2" t="s">
        <v>160</v>
      </c>
      <c r="O47" s="3">
        <v>1410</v>
      </c>
      <c r="P47" s="2" t="s">
        <v>42</v>
      </c>
    </row>
    <row r="48" spans="1:16" x14ac:dyDescent="0.25">
      <c r="A48" s="2" t="s">
        <v>7</v>
      </c>
      <c r="B48" s="2" t="s">
        <v>153</v>
      </c>
      <c r="C48" s="2" t="s">
        <v>153</v>
      </c>
      <c r="D48" s="9" t="s">
        <v>154</v>
      </c>
      <c r="E48" s="3"/>
      <c r="F48" s="3">
        <v>1838.5928269118201</v>
      </c>
      <c r="G48" s="3">
        <v>1947.04973768073</v>
      </c>
      <c r="H48" s="3">
        <v>5.8989086208432404</v>
      </c>
      <c r="I48" s="3"/>
      <c r="J48" s="2" t="s">
        <v>161</v>
      </c>
      <c r="K48" s="2" t="s">
        <v>116</v>
      </c>
      <c r="L48" s="3">
        <v>2980.7</v>
      </c>
      <c r="M48" s="2" t="s">
        <v>162</v>
      </c>
      <c r="N48" s="2" t="s">
        <v>160</v>
      </c>
      <c r="O48" s="3">
        <v>1450</v>
      </c>
      <c r="P48" s="2" t="s">
        <v>46</v>
      </c>
    </row>
    <row r="49" spans="1:16" x14ac:dyDescent="0.25">
      <c r="A49" s="2" t="s">
        <v>8</v>
      </c>
      <c r="B49" s="2" t="s">
        <v>153</v>
      </c>
      <c r="C49" s="2" t="s">
        <v>153</v>
      </c>
      <c r="D49" s="9" t="s">
        <v>154</v>
      </c>
      <c r="E49" s="3"/>
      <c r="F49" s="3">
        <v>1947.04973768073</v>
      </c>
      <c r="G49" s="3">
        <v>1931.31785704035</v>
      </c>
      <c r="H49" s="3">
        <v>-0.80798555557795004</v>
      </c>
      <c r="I49" s="3"/>
      <c r="J49" s="2" t="s">
        <v>163</v>
      </c>
      <c r="K49" s="2" t="s">
        <v>116</v>
      </c>
      <c r="L49" s="3">
        <v>3000</v>
      </c>
      <c r="M49" s="2" t="s">
        <v>164</v>
      </c>
      <c r="N49" s="2" t="s">
        <v>29</v>
      </c>
      <c r="O49" s="3">
        <v>1200</v>
      </c>
      <c r="P49" s="2" t="s">
        <v>49</v>
      </c>
    </row>
    <row r="50" spans="1:16" x14ac:dyDescent="0.25">
      <c r="A50" s="2" t="s">
        <v>3</v>
      </c>
      <c r="B50" s="2" t="s">
        <v>165</v>
      </c>
      <c r="C50" s="2" t="s">
        <v>166</v>
      </c>
      <c r="D50" s="6" t="s">
        <v>25</v>
      </c>
      <c r="E50" s="3">
        <v>2231.2344149340001</v>
      </c>
      <c r="F50" s="3">
        <v>4148.7413673875999</v>
      </c>
      <c r="G50" s="3">
        <v>4259.9869529958096</v>
      </c>
      <c r="H50" s="3">
        <v>2.6814297580150099</v>
      </c>
      <c r="I50" s="3">
        <v>90.925118601750199</v>
      </c>
      <c r="J50" s="2" t="s">
        <v>167</v>
      </c>
      <c r="K50" s="2" t="s">
        <v>156</v>
      </c>
      <c r="L50" s="3">
        <v>5885.71</v>
      </c>
      <c r="M50" s="2" t="s">
        <v>168</v>
      </c>
      <c r="N50" s="2" t="s">
        <v>39</v>
      </c>
      <c r="O50" s="3">
        <v>3000</v>
      </c>
      <c r="P50" s="2" t="s">
        <v>30</v>
      </c>
    </row>
    <row r="51" spans="1:16" x14ac:dyDescent="0.25">
      <c r="A51" s="2" t="s">
        <v>4</v>
      </c>
      <c r="B51" s="2" t="s">
        <v>165</v>
      </c>
      <c r="C51" s="2" t="s">
        <v>166</v>
      </c>
      <c r="D51" s="6" t="s">
        <v>25</v>
      </c>
      <c r="E51" s="3">
        <v>2347.40830920895</v>
      </c>
      <c r="F51" s="3">
        <v>4259.9869529958096</v>
      </c>
      <c r="G51" s="3">
        <v>4347.44455117503</v>
      </c>
      <c r="H51" s="3">
        <v>2.0530015501038599</v>
      </c>
      <c r="I51" s="3">
        <v>85.201889851027403</v>
      </c>
      <c r="J51" s="2" t="s">
        <v>169</v>
      </c>
      <c r="K51" s="2" t="s">
        <v>156</v>
      </c>
      <c r="L51" s="3">
        <v>5815.86</v>
      </c>
      <c r="M51" s="2" t="s">
        <v>170</v>
      </c>
      <c r="N51" s="2" t="s">
        <v>171</v>
      </c>
      <c r="O51" s="3">
        <v>3110.1</v>
      </c>
      <c r="P51" s="2" t="s">
        <v>35</v>
      </c>
    </row>
    <row r="52" spans="1:16" x14ac:dyDescent="0.25">
      <c r="A52" s="2" t="s">
        <v>5</v>
      </c>
      <c r="B52" s="2" t="s">
        <v>165</v>
      </c>
      <c r="C52" s="2" t="s">
        <v>165</v>
      </c>
      <c r="D52" s="6" t="s">
        <v>25</v>
      </c>
      <c r="E52" s="3">
        <v>2497.3741247641401</v>
      </c>
      <c r="F52" s="3">
        <v>4347.44455117503</v>
      </c>
      <c r="G52" s="3">
        <v>5226.8705778404701</v>
      </c>
      <c r="H52" s="3">
        <v>20.228573735983399</v>
      </c>
      <c r="I52" s="3">
        <v>109.294655775058</v>
      </c>
      <c r="J52" s="2" t="s">
        <v>172</v>
      </c>
      <c r="K52" s="2" t="s">
        <v>173</v>
      </c>
      <c r="L52" s="3">
        <v>7608.1</v>
      </c>
      <c r="M52" s="2" t="s">
        <v>174</v>
      </c>
      <c r="N52" s="2" t="s">
        <v>45</v>
      </c>
      <c r="O52" s="3">
        <v>3442.5</v>
      </c>
      <c r="P52" s="2" t="s">
        <v>40</v>
      </c>
    </row>
    <row r="53" spans="1:16" x14ac:dyDescent="0.25">
      <c r="A53" s="2" t="s">
        <v>6</v>
      </c>
      <c r="B53" s="2" t="s">
        <v>165</v>
      </c>
      <c r="C53" s="2" t="s">
        <v>165</v>
      </c>
      <c r="D53" s="6" t="s">
        <v>25</v>
      </c>
      <c r="E53" s="3">
        <v>2758.3787226341501</v>
      </c>
      <c r="F53" s="3">
        <v>5226.8705778404701</v>
      </c>
      <c r="G53" s="3">
        <v>5284.3595413749999</v>
      </c>
      <c r="H53" s="3">
        <v>1.0998734841123099</v>
      </c>
      <c r="I53" s="3">
        <v>91.574836987164403</v>
      </c>
      <c r="J53" s="2" t="s">
        <v>172</v>
      </c>
      <c r="K53" s="2" t="s">
        <v>173</v>
      </c>
      <c r="L53" s="3">
        <v>7608.1</v>
      </c>
      <c r="M53" s="2" t="s">
        <v>175</v>
      </c>
      <c r="N53" s="2" t="s">
        <v>45</v>
      </c>
      <c r="O53" s="3">
        <v>3500</v>
      </c>
      <c r="P53" s="2" t="s">
        <v>42</v>
      </c>
    </row>
    <row r="54" spans="1:16" x14ac:dyDescent="0.25">
      <c r="A54" s="2" t="s">
        <v>7</v>
      </c>
      <c r="B54" s="2" t="s">
        <v>165</v>
      </c>
      <c r="C54" s="2" t="s">
        <v>165</v>
      </c>
      <c r="D54" s="6" t="s">
        <v>25</v>
      </c>
      <c r="E54" s="3">
        <v>3043.4361968541102</v>
      </c>
      <c r="F54" s="3">
        <v>5284.3595413749999</v>
      </c>
      <c r="G54" s="3">
        <v>5507.1099405631503</v>
      </c>
      <c r="H54" s="3">
        <v>4.2152771295003602</v>
      </c>
      <c r="I54" s="3">
        <v>80.950398968627894</v>
      </c>
      <c r="J54" s="2" t="s">
        <v>176</v>
      </c>
      <c r="K54" s="2" t="s">
        <v>173</v>
      </c>
      <c r="L54" s="3">
        <v>8213.1</v>
      </c>
      <c r="M54" s="2" t="s">
        <v>177</v>
      </c>
      <c r="N54" s="2" t="s">
        <v>160</v>
      </c>
      <c r="O54" s="3">
        <v>3590</v>
      </c>
      <c r="P54" s="2" t="s">
        <v>46</v>
      </c>
    </row>
    <row r="55" spans="1:16" x14ac:dyDescent="0.25">
      <c r="A55" s="2" t="s">
        <v>8</v>
      </c>
      <c r="B55" s="2" t="s">
        <v>165</v>
      </c>
      <c r="C55" s="2" t="s">
        <v>165</v>
      </c>
      <c r="D55" s="6" t="s">
        <v>25</v>
      </c>
      <c r="E55" s="3">
        <v>3140.5331120351598</v>
      </c>
      <c r="F55" s="3">
        <v>5507.1099405631503</v>
      </c>
      <c r="G55" s="3">
        <v>5572.49342258056</v>
      </c>
      <c r="H55" s="3">
        <v>1.1872557970164701</v>
      </c>
      <c r="I55" s="3">
        <v>77.437817841360598</v>
      </c>
      <c r="J55" s="2" t="s">
        <v>176</v>
      </c>
      <c r="K55" s="2" t="s">
        <v>173</v>
      </c>
      <c r="L55" s="3">
        <v>8213.1</v>
      </c>
      <c r="M55" s="2" t="s">
        <v>178</v>
      </c>
      <c r="N55" s="2" t="s">
        <v>160</v>
      </c>
      <c r="O55" s="3">
        <v>3615.22</v>
      </c>
      <c r="P55" s="2" t="s">
        <v>49</v>
      </c>
    </row>
    <row r="56" spans="1:16" x14ac:dyDescent="0.25">
      <c r="A56" s="2" t="s">
        <v>3</v>
      </c>
      <c r="B56" s="2" t="s">
        <v>179</v>
      </c>
      <c r="C56" s="2" t="s">
        <v>179</v>
      </c>
      <c r="D56" s="8" t="s">
        <v>102</v>
      </c>
      <c r="E56" s="3">
        <v>3276.6288684205401</v>
      </c>
      <c r="F56" s="3">
        <v>5571.4419749531298</v>
      </c>
      <c r="G56" s="3">
        <v>5787.7444950687704</v>
      </c>
      <c r="H56" s="3">
        <v>3.8823435851624502</v>
      </c>
      <c r="I56" s="3">
        <v>76.637169709692898</v>
      </c>
      <c r="J56" s="2" t="s">
        <v>180</v>
      </c>
      <c r="K56" s="2" t="s">
        <v>116</v>
      </c>
      <c r="L56" s="3">
        <v>12181.27</v>
      </c>
      <c r="M56" s="2" t="s">
        <v>181</v>
      </c>
      <c r="N56" s="2" t="s">
        <v>182</v>
      </c>
      <c r="O56" s="3">
        <v>3950.44</v>
      </c>
      <c r="P56" s="2" t="s">
        <v>30</v>
      </c>
    </row>
    <row r="57" spans="1:16" x14ac:dyDescent="0.25">
      <c r="A57" s="2" t="s">
        <v>4</v>
      </c>
      <c r="B57" s="2" t="s">
        <v>179</v>
      </c>
      <c r="C57" s="2" t="s">
        <v>179</v>
      </c>
      <c r="D57" s="8" t="s">
        <v>102</v>
      </c>
      <c r="E57" s="3">
        <v>3357.5090443090398</v>
      </c>
      <c r="F57" s="3">
        <v>5787.7444950687704</v>
      </c>
      <c r="G57" s="3">
        <v>6044.0788060269097</v>
      </c>
      <c r="H57" s="3">
        <v>4.4289154639866597</v>
      </c>
      <c r="I57" s="3">
        <v>80.0167542741722</v>
      </c>
      <c r="J57" s="2" t="s">
        <v>183</v>
      </c>
      <c r="K57" s="2" t="s">
        <v>116</v>
      </c>
      <c r="L57" s="3">
        <v>12478.59</v>
      </c>
      <c r="M57" s="2" t="s">
        <v>184</v>
      </c>
      <c r="N57" s="2" t="s">
        <v>185</v>
      </c>
      <c r="O57" s="3">
        <v>4100.1400000000003</v>
      </c>
      <c r="P57" s="2" t="s">
        <v>35</v>
      </c>
    </row>
    <row r="58" spans="1:16" x14ac:dyDescent="0.25">
      <c r="A58" s="2" t="s">
        <v>3</v>
      </c>
      <c r="B58" s="2" t="s">
        <v>186</v>
      </c>
      <c r="C58" s="2" t="s">
        <v>186</v>
      </c>
      <c r="D58" s="8" t="s">
        <v>102</v>
      </c>
      <c r="E58" s="3">
        <v>2816.4811145368699</v>
      </c>
      <c r="F58" s="3">
        <v>4239.9878785471701</v>
      </c>
      <c r="G58" s="3">
        <v>4352.7683447761101</v>
      </c>
      <c r="H58" s="3">
        <v>2.6599242606227298</v>
      </c>
      <c r="I58" s="3">
        <v>54.546335223407397</v>
      </c>
      <c r="J58" s="2" t="s">
        <v>187</v>
      </c>
      <c r="K58" s="2" t="s">
        <v>74</v>
      </c>
      <c r="L58" s="3">
        <v>6255.22</v>
      </c>
      <c r="M58" s="2" t="s">
        <v>188</v>
      </c>
      <c r="N58" s="2" t="s">
        <v>189</v>
      </c>
      <c r="O58" s="3">
        <v>3391.67</v>
      </c>
      <c r="P58" s="2" t="s">
        <v>30</v>
      </c>
    </row>
    <row r="59" spans="1:16" x14ac:dyDescent="0.25">
      <c r="A59" s="2" t="s">
        <v>4</v>
      </c>
      <c r="B59" s="2" t="s">
        <v>186</v>
      </c>
      <c r="C59" s="2" t="s">
        <v>186</v>
      </c>
      <c r="D59" s="8" t="s">
        <v>102</v>
      </c>
      <c r="E59" s="3">
        <v>2869.4043681471298</v>
      </c>
      <c r="F59" s="3">
        <v>4352.7683447761101</v>
      </c>
      <c r="G59" s="3">
        <v>4475.0963655916903</v>
      </c>
      <c r="H59" s="3">
        <v>2.8103498997916998</v>
      </c>
      <c r="I59" s="3">
        <v>55.959069947377799</v>
      </c>
      <c r="J59" s="2" t="s">
        <v>190</v>
      </c>
      <c r="K59" s="2" t="s">
        <v>74</v>
      </c>
      <c r="L59" s="3">
        <v>7142.86</v>
      </c>
      <c r="M59" s="2" t="s">
        <v>191</v>
      </c>
      <c r="N59" s="2" t="s">
        <v>189</v>
      </c>
      <c r="O59" s="3">
        <v>3310.57</v>
      </c>
      <c r="P59" s="2" t="s">
        <v>35</v>
      </c>
    </row>
    <row r="60" spans="1:16" x14ac:dyDescent="0.25">
      <c r="A60" s="2" t="s">
        <v>3</v>
      </c>
      <c r="B60" s="2" t="s">
        <v>192</v>
      </c>
      <c r="C60" s="2" t="s">
        <v>192</v>
      </c>
      <c r="D60" s="6" t="s">
        <v>25</v>
      </c>
      <c r="E60" s="3">
        <v>2046.5024153883601</v>
      </c>
      <c r="F60" s="3">
        <v>4193.9661127611698</v>
      </c>
      <c r="G60" s="3">
        <v>4316.4129177333898</v>
      </c>
      <c r="H60" s="3">
        <v>2.9195945241342001</v>
      </c>
      <c r="I60" s="3">
        <v>110.916580663516</v>
      </c>
      <c r="J60" s="2" t="s">
        <v>193</v>
      </c>
      <c r="K60" s="2" t="s">
        <v>194</v>
      </c>
      <c r="L60" s="3">
        <v>6100</v>
      </c>
      <c r="M60" s="2" t="s">
        <v>195</v>
      </c>
      <c r="N60" s="2" t="s">
        <v>39</v>
      </c>
      <c r="O60" s="3">
        <v>2200</v>
      </c>
      <c r="P60" s="2" t="s">
        <v>30</v>
      </c>
    </row>
    <row r="61" spans="1:16" x14ac:dyDescent="0.25">
      <c r="A61" s="2" t="s">
        <v>4</v>
      </c>
      <c r="B61" s="2" t="s">
        <v>192</v>
      </c>
      <c r="C61" s="2" t="s">
        <v>192</v>
      </c>
      <c r="D61" s="6" t="s">
        <v>25</v>
      </c>
      <c r="E61" s="3">
        <v>2264.8681978322202</v>
      </c>
      <c r="F61" s="3">
        <v>4316.4129177333898</v>
      </c>
      <c r="G61" s="3">
        <v>4422.8021562329404</v>
      </c>
      <c r="H61" s="3">
        <v>2.46476045103263</v>
      </c>
      <c r="I61" s="3">
        <v>95.278566782214995</v>
      </c>
      <c r="J61" s="2" t="s">
        <v>196</v>
      </c>
      <c r="K61" s="2" t="s">
        <v>194</v>
      </c>
      <c r="L61" s="3">
        <v>6120</v>
      </c>
      <c r="M61" s="2" t="s">
        <v>197</v>
      </c>
      <c r="N61" s="2" t="s">
        <v>39</v>
      </c>
      <c r="O61" s="3">
        <v>2300</v>
      </c>
      <c r="P61" s="2" t="s">
        <v>35</v>
      </c>
    </row>
    <row r="62" spans="1:16" x14ac:dyDescent="0.25">
      <c r="A62" s="2" t="s">
        <v>5</v>
      </c>
      <c r="B62" s="2" t="s">
        <v>192</v>
      </c>
      <c r="C62" s="2" t="s">
        <v>192</v>
      </c>
      <c r="D62" s="6" t="s">
        <v>25</v>
      </c>
      <c r="E62" s="3">
        <v>2506.80920841854</v>
      </c>
      <c r="F62" s="3">
        <v>4422.8021562329404</v>
      </c>
      <c r="G62" s="3">
        <v>4340.1077806622197</v>
      </c>
      <c r="H62" s="3">
        <v>-1.8697281191784501</v>
      </c>
      <c r="I62" s="3">
        <v>73.132752428344801</v>
      </c>
      <c r="J62" s="2" t="s">
        <v>198</v>
      </c>
      <c r="K62" s="2" t="s">
        <v>59</v>
      </c>
      <c r="L62" s="3">
        <v>5703.26</v>
      </c>
      <c r="M62" s="2" t="s">
        <v>199</v>
      </c>
      <c r="N62" s="2" t="s">
        <v>74</v>
      </c>
      <c r="O62" s="3">
        <v>2709.25</v>
      </c>
      <c r="P62" s="2" t="s">
        <v>40</v>
      </c>
    </row>
    <row r="63" spans="1:16" x14ac:dyDescent="0.25">
      <c r="A63" s="2" t="s">
        <v>6</v>
      </c>
      <c r="B63" s="2" t="s">
        <v>192</v>
      </c>
      <c r="C63" s="2" t="s">
        <v>192</v>
      </c>
      <c r="D63" s="6" t="s">
        <v>25</v>
      </c>
      <c r="E63" s="3">
        <v>2751.9041571856501</v>
      </c>
      <c r="F63" s="3">
        <v>4340.1077806622197</v>
      </c>
      <c r="G63" s="3">
        <v>4394.4053790468497</v>
      </c>
      <c r="H63" s="3">
        <v>1.25106566769033</v>
      </c>
      <c r="I63" s="3">
        <v>59.685989338413698</v>
      </c>
      <c r="J63" s="2" t="s">
        <v>200</v>
      </c>
      <c r="K63" s="2" t="s">
        <v>59</v>
      </c>
      <c r="L63" s="3">
        <v>5598.22</v>
      </c>
      <c r="M63" s="2" t="s">
        <v>201</v>
      </c>
      <c r="N63" s="2" t="s">
        <v>74</v>
      </c>
      <c r="O63" s="3">
        <v>3009.25</v>
      </c>
      <c r="P63" s="2" t="s">
        <v>42</v>
      </c>
    </row>
    <row r="64" spans="1:16" x14ac:dyDescent="0.25">
      <c r="A64" s="2" t="s">
        <v>7</v>
      </c>
      <c r="B64" s="2" t="s">
        <v>192</v>
      </c>
      <c r="C64" s="2" t="s">
        <v>192</v>
      </c>
      <c r="D64" s="6" t="s">
        <v>25</v>
      </c>
      <c r="E64" s="3">
        <v>2992.3725617801902</v>
      </c>
      <c r="F64" s="3">
        <v>4394.4053790468497</v>
      </c>
      <c r="G64" s="3">
        <v>4671.3133143490404</v>
      </c>
      <c r="H64" s="3">
        <v>6.3013743935079196</v>
      </c>
      <c r="I64" s="3">
        <v>56.107343517747999</v>
      </c>
      <c r="J64" s="2" t="s">
        <v>202</v>
      </c>
      <c r="K64" s="2" t="s">
        <v>133</v>
      </c>
      <c r="L64" s="3">
        <v>6324.11</v>
      </c>
      <c r="M64" s="2" t="s">
        <v>203</v>
      </c>
      <c r="N64" s="2" t="s">
        <v>74</v>
      </c>
      <c r="O64" s="3">
        <v>3184.25</v>
      </c>
      <c r="P64" s="2" t="s">
        <v>46</v>
      </c>
    </row>
    <row r="65" spans="1:16" x14ac:dyDescent="0.25">
      <c r="A65" s="2" t="s">
        <v>8</v>
      </c>
      <c r="B65" s="2" t="s">
        <v>192</v>
      </c>
      <c r="C65" s="2" t="s">
        <v>192</v>
      </c>
      <c r="D65" s="6" t="s">
        <v>25</v>
      </c>
      <c r="E65" s="3">
        <v>3330.3014098633998</v>
      </c>
      <c r="F65" s="3">
        <v>4671.3133143490404</v>
      </c>
      <c r="G65" s="3">
        <v>4771.9236733382304</v>
      </c>
      <c r="H65" s="3">
        <v>2.1537917116401202</v>
      </c>
      <c r="I65" s="3">
        <v>43.288041713136003</v>
      </c>
      <c r="J65" s="2" t="s">
        <v>202</v>
      </c>
      <c r="K65" s="2" t="s">
        <v>133</v>
      </c>
      <c r="L65" s="3">
        <v>6324.11</v>
      </c>
      <c r="M65" s="2" t="s">
        <v>204</v>
      </c>
      <c r="N65" s="2" t="s">
        <v>74</v>
      </c>
      <c r="O65" s="3">
        <v>3175</v>
      </c>
      <c r="P65" s="2" t="s">
        <v>49</v>
      </c>
    </row>
    <row r="66" spans="1:16" x14ac:dyDescent="0.25">
      <c r="A66" s="2" t="s">
        <v>3</v>
      </c>
      <c r="B66" s="2" t="s">
        <v>205</v>
      </c>
      <c r="C66" s="2" t="s">
        <v>206</v>
      </c>
      <c r="D66" s="6" t="s">
        <v>25</v>
      </c>
      <c r="E66" s="3">
        <v>1791.09907843934</v>
      </c>
      <c r="F66" s="3">
        <v>3267.62425232655</v>
      </c>
      <c r="G66" s="3">
        <v>3336.7032495405501</v>
      </c>
      <c r="H66" s="3">
        <v>2.1140434725571402</v>
      </c>
      <c r="I66" s="3">
        <v>86.293616567987797</v>
      </c>
      <c r="J66" s="2" t="s">
        <v>207</v>
      </c>
      <c r="K66" s="2" t="s">
        <v>59</v>
      </c>
      <c r="L66" s="3">
        <v>5713.05</v>
      </c>
      <c r="M66" s="2" t="s">
        <v>208</v>
      </c>
      <c r="N66" s="2" t="s">
        <v>34</v>
      </c>
      <c r="O66" s="3">
        <v>1200</v>
      </c>
      <c r="P66" s="2" t="s">
        <v>30</v>
      </c>
    </row>
    <row r="67" spans="1:16" x14ac:dyDescent="0.25">
      <c r="A67" s="2" t="s">
        <v>4</v>
      </c>
      <c r="B67" s="2" t="s">
        <v>205</v>
      </c>
      <c r="C67" s="2" t="s">
        <v>206</v>
      </c>
      <c r="D67" s="6" t="s">
        <v>25</v>
      </c>
      <c r="E67" s="3">
        <v>1950.5385520750101</v>
      </c>
      <c r="F67" s="3">
        <v>3336.7032495405501</v>
      </c>
      <c r="G67" s="3">
        <v>3397.83335015904</v>
      </c>
      <c r="H67" s="3">
        <v>1.83205086118798</v>
      </c>
      <c r="I67" s="3">
        <v>74.199753526757505</v>
      </c>
      <c r="J67" s="2" t="s">
        <v>209</v>
      </c>
      <c r="K67" s="2" t="s">
        <v>59</v>
      </c>
      <c r="L67" s="3">
        <v>5715.05</v>
      </c>
      <c r="M67" s="2" t="s">
        <v>210</v>
      </c>
      <c r="N67" s="2" t="s">
        <v>34</v>
      </c>
      <c r="O67" s="3">
        <v>1250</v>
      </c>
      <c r="P67" s="2" t="s">
        <v>35</v>
      </c>
    </row>
    <row r="68" spans="1:16" x14ac:dyDescent="0.25">
      <c r="A68" s="2" t="s">
        <v>5</v>
      </c>
      <c r="B68" s="2" t="s">
        <v>205</v>
      </c>
      <c r="C68" s="2" t="s">
        <v>205</v>
      </c>
      <c r="D68" s="6" t="s">
        <v>25</v>
      </c>
      <c r="E68" s="3">
        <v>2052.1003035521198</v>
      </c>
      <c r="F68" s="3">
        <v>3397.83335015904</v>
      </c>
      <c r="G68" s="3">
        <v>3293.6295746176602</v>
      </c>
      <c r="H68" s="3">
        <v>-3.0667712275090402</v>
      </c>
      <c r="I68" s="3">
        <v>60.500418469627803</v>
      </c>
      <c r="J68" s="2" t="s">
        <v>211</v>
      </c>
      <c r="K68" s="2" t="s">
        <v>194</v>
      </c>
      <c r="L68" s="3">
        <v>4750</v>
      </c>
      <c r="M68" s="2" t="s">
        <v>212</v>
      </c>
      <c r="N68" s="2" t="s">
        <v>34</v>
      </c>
      <c r="O68" s="3">
        <v>2000</v>
      </c>
      <c r="P68" s="2" t="s">
        <v>40</v>
      </c>
    </row>
    <row r="69" spans="1:16" x14ac:dyDescent="0.25">
      <c r="A69" s="2" t="s">
        <v>6</v>
      </c>
      <c r="B69" s="2" t="s">
        <v>205</v>
      </c>
      <c r="C69" s="2" t="s">
        <v>205</v>
      </c>
      <c r="D69" s="6" t="s">
        <v>25</v>
      </c>
      <c r="E69" s="3">
        <v>2313.4976797709301</v>
      </c>
      <c r="F69" s="3">
        <v>3293.6295746176602</v>
      </c>
      <c r="G69" s="3">
        <v>3346.6242356636099</v>
      </c>
      <c r="H69" s="3">
        <v>1.60900489400373</v>
      </c>
      <c r="I69" s="3">
        <v>44.656476854343403</v>
      </c>
      <c r="J69" s="2" t="s">
        <v>211</v>
      </c>
      <c r="K69" s="2" t="s">
        <v>194</v>
      </c>
      <c r="L69" s="3">
        <v>4750</v>
      </c>
      <c r="M69" s="2" t="s">
        <v>213</v>
      </c>
      <c r="N69" s="2" t="s">
        <v>34</v>
      </c>
      <c r="O69" s="3">
        <v>2100</v>
      </c>
      <c r="P69" s="2" t="s">
        <v>42</v>
      </c>
    </row>
    <row r="70" spans="1:16" x14ac:dyDescent="0.25">
      <c r="A70" s="2" t="s">
        <v>7</v>
      </c>
      <c r="B70" s="2" t="s">
        <v>205</v>
      </c>
      <c r="C70" s="2" t="s">
        <v>205</v>
      </c>
      <c r="D70" s="6" t="s">
        <v>25</v>
      </c>
      <c r="E70" s="3">
        <v>2440.3538836121302</v>
      </c>
      <c r="F70" s="3">
        <v>3346.6242356636099</v>
      </c>
      <c r="G70" s="3">
        <v>3487.0587798892602</v>
      </c>
      <c r="H70" s="3">
        <v>4.1963045246935797</v>
      </c>
      <c r="I70" s="3">
        <v>42.891520910395002</v>
      </c>
      <c r="J70" s="2" t="s">
        <v>211</v>
      </c>
      <c r="K70" s="2" t="s">
        <v>194</v>
      </c>
      <c r="L70" s="3">
        <v>4750</v>
      </c>
      <c r="M70" s="2" t="s">
        <v>214</v>
      </c>
      <c r="N70" s="2" t="s">
        <v>182</v>
      </c>
      <c r="O70" s="3">
        <v>2281.25</v>
      </c>
      <c r="P70" s="2" t="s">
        <v>46</v>
      </c>
    </row>
    <row r="71" spans="1:16" x14ac:dyDescent="0.25">
      <c r="A71" s="2" t="s">
        <v>8</v>
      </c>
      <c r="B71" s="2" t="s">
        <v>205</v>
      </c>
      <c r="C71" s="2" t="s">
        <v>205</v>
      </c>
      <c r="D71" s="6" t="s">
        <v>25</v>
      </c>
      <c r="E71" s="3">
        <v>2660.8970751670599</v>
      </c>
      <c r="F71" s="3">
        <v>3487.0587798892602</v>
      </c>
      <c r="G71" s="3">
        <v>3502.69704413096</v>
      </c>
      <c r="H71" s="3">
        <v>0.44846574803643802</v>
      </c>
      <c r="I71" s="3">
        <v>31.635946268648599</v>
      </c>
      <c r="J71" s="2" t="s">
        <v>211</v>
      </c>
      <c r="K71" s="2" t="s">
        <v>194</v>
      </c>
      <c r="L71" s="3">
        <v>4750</v>
      </c>
      <c r="M71" s="2" t="s">
        <v>215</v>
      </c>
      <c r="N71" s="2" t="s">
        <v>27</v>
      </c>
      <c r="O71" s="3">
        <v>2300</v>
      </c>
      <c r="P71" s="2" t="s">
        <v>49</v>
      </c>
    </row>
    <row r="72" spans="1:16" x14ac:dyDescent="0.25">
      <c r="A72" s="2" t="s">
        <v>3</v>
      </c>
      <c r="B72" s="2" t="s">
        <v>216</v>
      </c>
      <c r="C72" s="2" t="s">
        <v>217</v>
      </c>
      <c r="D72" s="6" t="s">
        <v>25</v>
      </c>
      <c r="E72" s="3">
        <v>3645.8919819819798</v>
      </c>
      <c r="F72" s="3">
        <v>5971.9762024350603</v>
      </c>
      <c r="G72" s="3">
        <v>6130.51459408545</v>
      </c>
      <c r="H72" s="3">
        <v>2.65470568328365</v>
      </c>
      <c r="I72" s="3">
        <v>68.148552518354506</v>
      </c>
      <c r="J72" s="2" t="s">
        <v>218</v>
      </c>
      <c r="K72" s="2" t="s">
        <v>27</v>
      </c>
      <c r="L72" s="3">
        <v>8900</v>
      </c>
      <c r="M72" s="2" t="s">
        <v>219</v>
      </c>
      <c r="N72" s="2" t="s">
        <v>194</v>
      </c>
      <c r="O72" s="3">
        <v>4850</v>
      </c>
      <c r="P72" s="2" t="s">
        <v>30</v>
      </c>
    </row>
    <row r="73" spans="1:16" x14ac:dyDescent="0.25">
      <c r="A73" s="2" t="s">
        <v>4</v>
      </c>
      <c r="B73" s="2" t="s">
        <v>216</v>
      </c>
      <c r="C73" s="2" t="s">
        <v>217</v>
      </c>
      <c r="D73" s="6" t="s">
        <v>25</v>
      </c>
      <c r="E73" s="3">
        <v>3771.4072818489899</v>
      </c>
      <c r="F73" s="3">
        <v>6130.51459408545</v>
      </c>
      <c r="G73" s="3">
        <v>6473.80641713777</v>
      </c>
      <c r="H73" s="3">
        <v>5.5997227929858502</v>
      </c>
      <c r="I73" s="3">
        <v>71.654927016100103</v>
      </c>
      <c r="J73" s="2" t="s">
        <v>220</v>
      </c>
      <c r="K73" s="2" t="s">
        <v>74</v>
      </c>
      <c r="L73" s="3">
        <v>12000</v>
      </c>
      <c r="M73" s="2" t="s">
        <v>221</v>
      </c>
      <c r="N73" s="2" t="s">
        <v>194</v>
      </c>
      <c r="O73" s="3">
        <v>4870</v>
      </c>
      <c r="P73" s="2" t="s">
        <v>35</v>
      </c>
    </row>
    <row r="74" spans="1:16" x14ac:dyDescent="0.25">
      <c r="A74" s="2" t="s">
        <v>5</v>
      </c>
      <c r="B74" s="2" t="s">
        <v>216</v>
      </c>
      <c r="C74" s="2" t="s">
        <v>216</v>
      </c>
      <c r="D74" s="6" t="s">
        <v>25</v>
      </c>
      <c r="E74" s="3">
        <v>4007.5773169253198</v>
      </c>
      <c r="F74" s="3">
        <v>6473.80641713777</v>
      </c>
      <c r="G74" s="3">
        <v>5497.0311353705501</v>
      </c>
      <c r="H74" s="3">
        <v>-15.088113836420201</v>
      </c>
      <c r="I74" s="3">
        <v>37.1659409328118</v>
      </c>
      <c r="J74" s="2" t="s">
        <v>222</v>
      </c>
      <c r="K74" s="2" t="s">
        <v>80</v>
      </c>
      <c r="L74" s="3">
        <v>7800</v>
      </c>
      <c r="M74" s="2" t="s">
        <v>223</v>
      </c>
      <c r="N74" s="2" t="s">
        <v>78</v>
      </c>
      <c r="O74" s="3">
        <v>4000</v>
      </c>
      <c r="P74" s="2" t="s">
        <v>40</v>
      </c>
    </row>
    <row r="75" spans="1:16" x14ac:dyDescent="0.25">
      <c r="A75" s="2" t="s">
        <v>6</v>
      </c>
      <c r="B75" s="2" t="s">
        <v>216</v>
      </c>
      <c r="C75" s="2" t="s">
        <v>216</v>
      </c>
      <c r="D75" s="6" t="s">
        <v>25</v>
      </c>
      <c r="E75" s="3">
        <v>4370.7821115981196</v>
      </c>
      <c r="F75" s="3">
        <v>5497.0311353705501</v>
      </c>
      <c r="G75" s="3">
        <v>5552.7027027026998</v>
      </c>
      <c r="H75" s="3">
        <v>1.0127569948428601</v>
      </c>
      <c r="I75" s="3">
        <v>27.041398105119299</v>
      </c>
      <c r="J75" s="2" t="s">
        <v>224</v>
      </c>
      <c r="K75" s="2" t="s">
        <v>37</v>
      </c>
      <c r="L75" s="3">
        <v>8000</v>
      </c>
      <c r="M75" s="2" t="s">
        <v>225</v>
      </c>
      <c r="N75" s="2" t="s">
        <v>78</v>
      </c>
      <c r="O75" s="3">
        <v>4200</v>
      </c>
      <c r="P75" s="2" t="s">
        <v>42</v>
      </c>
    </row>
    <row r="76" spans="1:16" x14ac:dyDescent="0.25">
      <c r="A76" s="2" t="s">
        <v>7</v>
      </c>
      <c r="B76" s="2" t="s">
        <v>216</v>
      </c>
      <c r="C76" s="2" t="s">
        <v>216</v>
      </c>
      <c r="D76" s="6" t="s">
        <v>25</v>
      </c>
      <c r="E76" s="3">
        <v>4564.5804396781796</v>
      </c>
      <c r="F76" s="3">
        <v>5552.7027027026998</v>
      </c>
      <c r="G76" s="3">
        <v>5675.6756756756804</v>
      </c>
      <c r="H76" s="3">
        <v>2.21465076660989</v>
      </c>
      <c r="I76" s="3">
        <v>24.341672814858601</v>
      </c>
      <c r="J76" s="2" t="s">
        <v>226</v>
      </c>
      <c r="K76" s="2" t="s">
        <v>37</v>
      </c>
      <c r="L76" s="3">
        <v>8200</v>
      </c>
      <c r="M76" s="2" t="s">
        <v>227</v>
      </c>
      <c r="N76" s="2" t="s">
        <v>78</v>
      </c>
      <c r="O76" s="3">
        <v>4500</v>
      </c>
      <c r="P76" s="2" t="s">
        <v>46</v>
      </c>
    </row>
    <row r="77" spans="1:16" x14ac:dyDescent="0.25">
      <c r="A77" s="2" t="s">
        <v>8</v>
      </c>
      <c r="B77" s="2" t="s">
        <v>216</v>
      </c>
      <c r="C77" s="2" t="s">
        <v>216</v>
      </c>
      <c r="D77" s="6" t="s">
        <v>25</v>
      </c>
      <c r="E77" s="3">
        <v>4829.1307681304197</v>
      </c>
      <c r="F77" s="3">
        <v>5675.6756756756804</v>
      </c>
      <c r="G77" s="3">
        <v>5740.1492438265304</v>
      </c>
      <c r="H77" s="3">
        <v>1.1359628674198701</v>
      </c>
      <c r="I77" s="3">
        <v>18.8650612178144</v>
      </c>
      <c r="J77" s="2" t="s">
        <v>228</v>
      </c>
      <c r="K77" s="2" t="s">
        <v>37</v>
      </c>
      <c r="L77" s="3">
        <v>8216.56</v>
      </c>
      <c r="M77" s="2" t="s">
        <v>229</v>
      </c>
      <c r="N77" s="2" t="s">
        <v>27</v>
      </c>
      <c r="O77" s="3">
        <v>4600</v>
      </c>
      <c r="P77" s="2" t="s">
        <v>49</v>
      </c>
    </row>
    <row r="78" spans="1:16" x14ac:dyDescent="0.25">
      <c r="A78" s="2" t="s">
        <v>5</v>
      </c>
      <c r="B78" s="2" t="s">
        <v>230</v>
      </c>
      <c r="C78" s="2" t="s">
        <v>230</v>
      </c>
      <c r="D78" s="9" t="s">
        <v>154</v>
      </c>
      <c r="E78" s="3"/>
      <c r="F78" s="3"/>
      <c r="G78" s="3">
        <v>6227.0407199211704</v>
      </c>
      <c r="H78" s="3"/>
      <c r="I78" s="3"/>
      <c r="J78" s="2" t="s">
        <v>231</v>
      </c>
      <c r="K78" s="2" t="s">
        <v>91</v>
      </c>
      <c r="L78" s="3">
        <v>7800</v>
      </c>
      <c r="M78" s="2" t="s">
        <v>232</v>
      </c>
      <c r="N78" s="2" t="s">
        <v>156</v>
      </c>
      <c r="O78" s="3">
        <v>4000</v>
      </c>
      <c r="P78" s="2" t="s">
        <v>40</v>
      </c>
    </row>
    <row r="79" spans="1:16" x14ac:dyDescent="0.25">
      <c r="A79" s="2" t="s">
        <v>6</v>
      </c>
      <c r="B79" s="2" t="s">
        <v>230</v>
      </c>
      <c r="C79" s="2" t="s">
        <v>230</v>
      </c>
      <c r="D79" s="9" t="s">
        <v>154</v>
      </c>
      <c r="E79" s="3"/>
      <c r="F79" s="3">
        <v>6227.0407199211704</v>
      </c>
      <c r="G79" s="3">
        <v>6440.4410828017999</v>
      </c>
      <c r="H79" s="3">
        <v>3.4269948195124802</v>
      </c>
      <c r="I79" s="3"/>
      <c r="J79" s="2" t="s">
        <v>233</v>
      </c>
      <c r="K79" s="2" t="s">
        <v>62</v>
      </c>
      <c r="L79" s="3">
        <v>8000</v>
      </c>
      <c r="M79" s="2" t="s">
        <v>234</v>
      </c>
      <c r="N79" s="2" t="s">
        <v>156</v>
      </c>
      <c r="O79" s="3">
        <v>4300</v>
      </c>
      <c r="P79" s="2" t="s">
        <v>42</v>
      </c>
    </row>
    <row r="80" spans="1:16" x14ac:dyDescent="0.25">
      <c r="A80" s="2" t="s">
        <v>7</v>
      </c>
      <c r="B80" s="2" t="s">
        <v>230</v>
      </c>
      <c r="C80" s="2" t="s">
        <v>230</v>
      </c>
      <c r="D80" s="9" t="s">
        <v>154</v>
      </c>
      <c r="E80" s="3"/>
      <c r="F80" s="3">
        <v>6440.4410828017999</v>
      </c>
      <c r="G80" s="3">
        <v>6657.0025353562396</v>
      </c>
      <c r="H80" s="3">
        <v>3.3625251713385098</v>
      </c>
      <c r="I80" s="3"/>
      <c r="J80" s="2" t="s">
        <v>233</v>
      </c>
      <c r="K80" s="2" t="s">
        <v>62</v>
      </c>
      <c r="L80" s="3">
        <v>8000</v>
      </c>
      <c r="M80" s="2" t="s">
        <v>235</v>
      </c>
      <c r="N80" s="2" t="s">
        <v>156</v>
      </c>
      <c r="O80" s="3">
        <v>4500</v>
      </c>
      <c r="P80" s="2" t="s">
        <v>46</v>
      </c>
    </row>
    <row r="81" spans="1:16" x14ac:dyDescent="0.25">
      <c r="A81" s="2" t="s">
        <v>8</v>
      </c>
      <c r="B81" s="2" t="s">
        <v>230</v>
      </c>
      <c r="C81" s="2" t="s">
        <v>230</v>
      </c>
      <c r="D81" s="9" t="s">
        <v>154</v>
      </c>
      <c r="E81" s="3"/>
      <c r="F81" s="3">
        <v>6657.0025353562396</v>
      </c>
      <c r="G81" s="3">
        <v>6655.6615288069197</v>
      </c>
      <c r="H81" s="3">
        <v>-2.0144299813636399E-2</v>
      </c>
      <c r="I81" s="3"/>
      <c r="J81" s="2" t="s">
        <v>233</v>
      </c>
      <c r="K81" s="2" t="s">
        <v>62</v>
      </c>
      <c r="L81" s="3">
        <v>8000</v>
      </c>
      <c r="M81" s="2" t="s">
        <v>236</v>
      </c>
      <c r="N81" s="2" t="s">
        <v>107</v>
      </c>
      <c r="O81" s="3">
        <v>4576.03</v>
      </c>
      <c r="P81" s="2" t="s">
        <v>49</v>
      </c>
    </row>
    <row r="82" spans="1:16" x14ac:dyDescent="0.25">
      <c r="A82" s="2" t="s">
        <v>3</v>
      </c>
      <c r="B82" s="2" t="s">
        <v>237</v>
      </c>
      <c r="C82" s="2" t="s">
        <v>237</v>
      </c>
      <c r="D82" s="8" t="s">
        <v>102</v>
      </c>
      <c r="E82" s="3">
        <v>2750.9146025268601</v>
      </c>
      <c r="F82" s="3">
        <v>4641.9454427335304</v>
      </c>
      <c r="G82" s="3">
        <v>4766.5638775357702</v>
      </c>
      <c r="H82" s="3">
        <v>2.6846165328660101</v>
      </c>
      <c r="I82" s="3">
        <v>73.271968281292004</v>
      </c>
      <c r="J82" s="2" t="s">
        <v>238</v>
      </c>
      <c r="K82" s="2" t="s">
        <v>171</v>
      </c>
      <c r="L82" s="3">
        <v>7474.67</v>
      </c>
      <c r="M82" s="2" t="s">
        <v>239</v>
      </c>
      <c r="N82" s="2" t="s">
        <v>59</v>
      </c>
      <c r="O82" s="3">
        <v>2900.57</v>
      </c>
      <c r="P82" s="2" t="s">
        <v>30</v>
      </c>
    </row>
    <row r="83" spans="1:16" x14ac:dyDescent="0.25">
      <c r="A83" s="2" t="s">
        <v>4</v>
      </c>
      <c r="B83" s="2" t="s">
        <v>237</v>
      </c>
      <c r="C83" s="2" t="s">
        <v>237</v>
      </c>
      <c r="D83" s="8" t="s">
        <v>102</v>
      </c>
      <c r="E83" s="3">
        <v>2863.9671019673401</v>
      </c>
      <c r="F83" s="3">
        <v>4766.5638775357702</v>
      </c>
      <c r="G83" s="3">
        <v>4908.4226209077997</v>
      </c>
      <c r="H83" s="3">
        <v>2.9761217308047598</v>
      </c>
      <c r="I83" s="3">
        <v>71.385440060958302</v>
      </c>
      <c r="J83" s="2" t="s">
        <v>240</v>
      </c>
      <c r="K83" s="2" t="s">
        <v>171</v>
      </c>
      <c r="L83" s="3">
        <v>7669.01</v>
      </c>
      <c r="M83" s="2" t="s">
        <v>241</v>
      </c>
      <c r="N83" s="2" t="s">
        <v>59</v>
      </c>
      <c r="O83" s="3">
        <v>2903.57</v>
      </c>
      <c r="P83" s="2" t="s">
        <v>35</v>
      </c>
    </row>
    <row r="84" spans="1:16" x14ac:dyDescent="0.25">
      <c r="A84" s="2" t="s">
        <v>5</v>
      </c>
      <c r="B84" s="2" t="s">
        <v>242</v>
      </c>
      <c r="C84" s="2" t="s">
        <v>242</v>
      </c>
      <c r="D84" s="9" t="s">
        <v>154</v>
      </c>
      <c r="E84" s="3"/>
      <c r="F84" s="3"/>
      <c r="G84" s="3">
        <v>6131.9801153648596</v>
      </c>
      <c r="H84" s="3"/>
      <c r="I84" s="3"/>
      <c r="J84" s="2" t="s">
        <v>243</v>
      </c>
      <c r="K84" s="2" t="s">
        <v>37</v>
      </c>
      <c r="L84" s="3">
        <v>8900</v>
      </c>
      <c r="M84" s="2" t="s">
        <v>244</v>
      </c>
      <c r="N84" s="2" t="s">
        <v>156</v>
      </c>
      <c r="O84" s="3">
        <v>4202.78</v>
      </c>
      <c r="P84" s="2" t="s">
        <v>40</v>
      </c>
    </row>
    <row r="85" spans="1:16" x14ac:dyDescent="0.25">
      <c r="A85" s="2" t="s">
        <v>6</v>
      </c>
      <c r="B85" s="2" t="s">
        <v>242</v>
      </c>
      <c r="C85" s="2" t="s">
        <v>242</v>
      </c>
      <c r="D85" s="9" t="s">
        <v>154</v>
      </c>
      <c r="E85" s="3"/>
      <c r="F85" s="3">
        <v>6131.9801153648596</v>
      </c>
      <c r="G85" s="3">
        <v>6160.0213093243201</v>
      </c>
      <c r="H85" s="3">
        <v>0.45729427414805102</v>
      </c>
      <c r="I85" s="3"/>
      <c r="J85" s="2" t="s">
        <v>245</v>
      </c>
      <c r="K85" s="2" t="s">
        <v>37</v>
      </c>
      <c r="L85" s="3">
        <v>9000</v>
      </c>
      <c r="M85" s="2" t="s">
        <v>246</v>
      </c>
      <c r="N85" s="2" t="s">
        <v>39</v>
      </c>
      <c r="O85" s="3">
        <v>4000</v>
      </c>
      <c r="P85" s="2" t="s">
        <v>42</v>
      </c>
    </row>
    <row r="86" spans="1:16" x14ac:dyDescent="0.25">
      <c r="A86" s="2" t="s">
        <v>7</v>
      </c>
      <c r="B86" s="2" t="s">
        <v>242</v>
      </c>
      <c r="C86" s="2" t="s">
        <v>242</v>
      </c>
      <c r="D86" s="9" t="s">
        <v>154</v>
      </c>
      <c r="E86" s="3"/>
      <c r="F86" s="3">
        <v>6160.0213093243201</v>
      </c>
      <c r="G86" s="3">
        <v>6493.7843284955397</v>
      </c>
      <c r="H86" s="3">
        <v>5.4182120874485502</v>
      </c>
      <c r="I86" s="3"/>
      <c r="J86" s="2" t="s">
        <v>247</v>
      </c>
      <c r="K86" s="2" t="s">
        <v>80</v>
      </c>
      <c r="L86" s="3">
        <v>10004.01</v>
      </c>
      <c r="M86" s="2" t="s">
        <v>248</v>
      </c>
      <c r="N86" s="2" t="s">
        <v>135</v>
      </c>
      <c r="O86" s="3">
        <v>4420</v>
      </c>
      <c r="P86" s="2" t="s">
        <v>46</v>
      </c>
    </row>
    <row r="87" spans="1:16" x14ac:dyDescent="0.25">
      <c r="A87" s="2" t="s">
        <v>8</v>
      </c>
      <c r="B87" s="2" t="s">
        <v>242</v>
      </c>
      <c r="C87" s="2" t="s">
        <v>242</v>
      </c>
      <c r="D87" s="9" t="s">
        <v>154</v>
      </c>
      <c r="E87" s="3"/>
      <c r="F87" s="3">
        <v>6493.7843284955397</v>
      </c>
      <c r="G87" s="3">
        <v>6657.7427764140602</v>
      </c>
      <c r="H87" s="3">
        <v>2.52485206813915</v>
      </c>
      <c r="I87" s="3"/>
      <c r="J87" s="2" t="s">
        <v>249</v>
      </c>
      <c r="K87" s="2" t="s">
        <v>80</v>
      </c>
      <c r="L87" s="3">
        <v>10000</v>
      </c>
      <c r="M87" s="2" t="s">
        <v>250</v>
      </c>
      <c r="N87" s="2" t="s">
        <v>135</v>
      </c>
      <c r="O87" s="3">
        <v>4500</v>
      </c>
      <c r="P87" s="2" t="s">
        <v>49</v>
      </c>
    </row>
    <row r="88" spans="1:16" x14ac:dyDescent="0.25">
      <c r="A88" s="2" t="s">
        <v>3</v>
      </c>
      <c r="B88" s="2" t="s">
        <v>251</v>
      </c>
      <c r="C88" s="2" t="s">
        <v>252</v>
      </c>
      <c r="D88" s="6" t="s">
        <v>25</v>
      </c>
      <c r="E88" s="3">
        <v>581.09197915880702</v>
      </c>
      <c r="F88" s="3">
        <v>1266.3149628077399</v>
      </c>
      <c r="G88" s="3">
        <v>1311.0286836146099</v>
      </c>
      <c r="H88" s="3">
        <v>3.53101101385794</v>
      </c>
      <c r="I88" s="3">
        <v>125.614658373441</v>
      </c>
      <c r="J88" s="2" t="s">
        <v>253</v>
      </c>
      <c r="K88" s="2" t="s">
        <v>27</v>
      </c>
      <c r="L88" s="3">
        <v>1575</v>
      </c>
      <c r="M88" s="2" t="s">
        <v>254</v>
      </c>
      <c r="N88" s="2" t="s">
        <v>62</v>
      </c>
      <c r="O88" s="3">
        <v>1100.03</v>
      </c>
      <c r="P88" s="2" t="s">
        <v>30</v>
      </c>
    </row>
    <row r="89" spans="1:16" x14ac:dyDescent="0.25">
      <c r="A89" s="2" t="s">
        <v>4</v>
      </c>
      <c r="B89" s="2" t="s">
        <v>251</v>
      </c>
      <c r="C89" s="2" t="s">
        <v>252</v>
      </c>
      <c r="D89" s="6" t="s">
        <v>25</v>
      </c>
      <c r="E89" s="3">
        <v>598.75055476099703</v>
      </c>
      <c r="F89" s="3">
        <v>1311.0286836146099</v>
      </c>
      <c r="G89" s="3">
        <v>1296.9267315173299</v>
      </c>
      <c r="H89" s="3">
        <v>-1.0756402414020301</v>
      </c>
      <c r="I89" s="3">
        <v>116.605516471717</v>
      </c>
      <c r="J89" s="2" t="s">
        <v>255</v>
      </c>
      <c r="K89" s="2" t="s">
        <v>27</v>
      </c>
      <c r="L89" s="3">
        <v>1720</v>
      </c>
      <c r="M89" s="2" t="s">
        <v>256</v>
      </c>
      <c r="N89" s="2" t="s">
        <v>62</v>
      </c>
      <c r="O89" s="3">
        <v>1000.03</v>
      </c>
      <c r="P89" s="2" t="s">
        <v>35</v>
      </c>
    </row>
    <row r="90" spans="1:16" x14ac:dyDescent="0.25">
      <c r="A90" s="2" t="s">
        <v>5</v>
      </c>
      <c r="B90" s="2" t="s">
        <v>251</v>
      </c>
      <c r="C90" s="2" t="s">
        <v>251</v>
      </c>
      <c r="D90" s="6" t="s">
        <v>25</v>
      </c>
      <c r="E90" s="3">
        <v>624.21265890879499</v>
      </c>
      <c r="F90" s="3">
        <v>1296.9267315173299</v>
      </c>
      <c r="G90" s="3">
        <v>1358.95841842142</v>
      </c>
      <c r="H90" s="3">
        <v>4.78297542926863</v>
      </c>
      <c r="I90" s="3">
        <v>117.707603174382</v>
      </c>
      <c r="J90" s="2" t="s">
        <v>257</v>
      </c>
      <c r="K90" s="2" t="s">
        <v>27</v>
      </c>
      <c r="L90" s="3">
        <v>1692.31</v>
      </c>
      <c r="M90" s="2" t="s">
        <v>258</v>
      </c>
      <c r="N90" s="2" t="s">
        <v>118</v>
      </c>
      <c r="O90" s="3">
        <v>980.24</v>
      </c>
      <c r="P90" s="2" t="s">
        <v>40</v>
      </c>
    </row>
    <row r="91" spans="1:16" x14ac:dyDescent="0.25">
      <c r="A91" s="2" t="s">
        <v>6</v>
      </c>
      <c r="B91" s="2" t="s">
        <v>251</v>
      </c>
      <c r="C91" s="2" t="s">
        <v>251</v>
      </c>
      <c r="D91" s="6" t="s">
        <v>25</v>
      </c>
      <c r="E91" s="3">
        <v>753.56404775216402</v>
      </c>
      <c r="F91" s="3">
        <v>1358.95841842142</v>
      </c>
      <c r="G91" s="3">
        <v>1378.1547063621399</v>
      </c>
      <c r="H91" s="3">
        <v>1.4125736064111301</v>
      </c>
      <c r="I91" s="3">
        <v>82.884880253124095</v>
      </c>
      <c r="J91" s="2" t="s">
        <v>259</v>
      </c>
      <c r="K91" s="2" t="s">
        <v>189</v>
      </c>
      <c r="L91" s="3">
        <v>1744.39</v>
      </c>
      <c r="M91" s="2" t="s">
        <v>260</v>
      </c>
      <c r="N91" s="2" t="s">
        <v>152</v>
      </c>
      <c r="O91" s="3">
        <v>961.54</v>
      </c>
      <c r="P91" s="2" t="s">
        <v>42</v>
      </c>
    </row>
    <row r="92" spans="1:16" x14ac:dyDescent="0.25">
      <c r="A92" s="2" t="s">
        <v>7</v>
      </c>
      <c r="B92" s="2" t="s">
        <v>251</v>
      </c>
      <c r="C92" s="2" t="s">
        <v>251</v>
      </c>
      <c r="D92" s="6" t="s">
        <v>25</v>
      </c>
      <c r="E92" s="3">
        <v>804.01182109351896</v>
      </c>
      <c r="F92" s="3">
        <v>1378.1547063621399</v>
      </c>
      <c r="G92" s="3">
        <v>1456.65126496469</v>
      </c>
      <c r="H92" s="3">
        <v>5.6957726327946796</v>
      </c>
      <c r="I92" s="3">
        <v>81.172866710283998</v>
      </c>
      <c r="J92" s="2" t="s">
        <v>261</v>
      </c>
      <c r="K92" s="2" t="s">
        <v>185</v>
      </c>
      <c r="L92" s="3">
        <v>1903.28</v>
      </c>
      <c r="M92" s="2" t="s">
        <v>262</v>
      </c>
      <c r="N92" s="2" t="s">
        <v>263</v>
      </c>
      <c r="O92" s="3">
        <v>1152.77</v>
      </c>
      <c r="P92" s="2" t="s">
        <v>46</v>
      </c>
    </row>
    <row r="93" spans="1:16" x14ac:dyDescent="0.25">
      <c r="A93" s="2" t="s">
        <v>8</v>
      </c>
      <c r="B93" s="2" t="s">
        <v>251</v>
      </c>
      <c r="C93" s="2" t="s">
        <v>251</v>
      </c>
      <c r="D93" s="6" t="s">
        <v>25</v>
      </c>
      <c r="E93" s="3">
        <v>909.76592236758302</v>
      </c>
      <c r="F93" s="3">
        <v>1456.65126496469</v>
      </c>
      <c r="G93" s="3">
        <v>1422.33984770236</v>
      </c>
      <c r="H93" s="3">
        <v>-2.3554997745570501</v>
      </c>
      <c r="I93" s="3">
        <v>56.3412975505668</v>
      </c>
      <c r="J93" s="2" t="s">
        <v>264</v>
      </c>
      <c r="K93" s="2" t="s">
        <v>74</v>
      </c>
      <c r="L93" s="3">
        <v>2060</v>
      </c>
      <c r="M93" s="2" t="s">
        <v>265</v>
      </c>
      <c r="N93" s="2" t="s">
        <v>263</v>
      </c>
      <c r="O93" s="3">
        <v>1100</v>
      </c>
      <c r="P93" s="2" t="s">
        <v>49</v>
      </c>
    </row>
    <row r="94" spans="1:16" x14ac:dyDescent="0.25">
      <c r="A94" s="2" t="s">
        <v>3</v>
      </c>
      <c r="B94" s="2" t="s">
        <v>266</v>
      </c>
      <c r="C94" s="2" t="s">
        <v>267</v>
      </c>
      <c r="D94" s="6" t="s">
        <v>25</v>
      </c>
      <c r="E94" s="3">
        <v>548.95098552725005</v>
      </c>
      <c r="F94" s="3">
        <v>1198.0471797591199</v>
      </c>
      <c r="G94" s="3">
        <v>1205.3885873745801</v>
      </c>
      <c r="H94" s="3">
        <v>0.61278117752677597</v>
      </c>
      <c r="I94" s="3">
        <v>119.580366763863</v>
      </c>
      <c r="J94" s="2" t="s">
        <v>268</v>
      </c>
      <c r="K94" s="2" t="s">
        <v>27</v>
      </c>
      <c r="L94" s="3">
        <v>1550</v>
      </c>
      <c r="M94" s="2" t="s">
        <v>269</v>
      </c>
      <c r="N94" s="2" t="s">
        <v>62</v>
      </c>
      <c r="O94" s="3">
        <v>1000.04</v>
      </c>
      <c r="P94" s="2" t="s">
        <v>30</v>
      </c>
    </row>
    <row r="95" spans="1:16" x14ac:dyDescent="0.25">
      <c r="A95" s="2" t="s">
        <v>4</v>
      </c>
      <c r="B95" s="2" t="s">
        <v>266</v>
      </c>
      <c r="C95" s="2" t="s">
        <v>267</v>
      </c>
      <c r="D95" s="6" t="s">
        <v>25</v>
      </c>
      <c r="E95" s="3">
        <v>568.71977329388199</v>
      </c>
      <c r="F95" s="3">
        <v>1205.3885873745801</v>
      </c>
      <c r="G95" s="3">
        <v>1184.7661828727901</v>
      </c>
      <c r="H95" s="3">
        <v>-1.7108511493960401</v>
      </c>
      <c r="I95" s="3">
        <v>108.32160907839101</v>
      </c>
      <c r="J95" s="2" t="s">
        <v>270</v>
      </c>
      <c r="K95" s="2" t="s">
        <v>27</v>
      </c>
      <c r="L95" s="3">
        <v>1500</v>
      </c>
      <c r="M95" s="2" t="s">
        <v>271</v>
      </c>
      <c r="N95" s="2" t="s">
        <v>62</v>
      </c>
      <c r="O95" s="3">
        <v>800.1</v>
      </c>
      <c r="P95" s="2" t="s">
        <v>35</v>
      </c>
    </row>
    <row r="96" spans="1:16" x14ac:dyDescent="0.25">
      <c r="A96" s="2" t="s">
        <v>5</v>
      </c>
      <c r="B96" s="2" t="s">
        <v>266</v>
      </c>
      <c r="C96" s="2" t="s">
        <v>266</v>
      </c>
      <c r="D96" s="6" t="s">
        <v>25</v>
      </c>
      <c r="E96" s="3">
        <v>600.68719578202194</v>
      </c>
      <c r="F96" s="3">
        <v>1184.7661828727901</v>
      </c>
      <c r="G96" s="3">
        <v>1267.6348809931201</v>
      </c>
      <c r="H96" s="3">
        <v>6.9945191986648503</v>
      </c>
      <c r="I96" s="3">
        <v>111.030781061149</v>
      </c>
      <c r="J96" s="2" t="s">
        <v>272</v>
      </c>
      <c r="K96" s="2" t="s">
        <v>91</v>
      </c>
      <c r="L96" s="3">
        <v>1662.11</v>
      </c>
      <c r="M96" s="2" t="s">
        <v>273</v>
      </c>
      <c r="N96" s="2" t="s">
        <v>263</v>
      </c>
      <c r="O96" s="3">
        <v>909.09</v>
      </c>
      <c r="P96" s="2" t="s">
        <v>40</v>
      </c>
    </row>
    <row r="97" spans="1:16" x14ac:dyDescent="0.25">
      <c r="A97" s="2" t="s">
        <v>6</v>
      </c>
      <c r="B97" s="2" t="s">
        <v>266</v>
      </c>
      <c r="C97" s="2" t="s">
        <v>266</v>
      </c>
      <c r="D97" s="6" t="s">
        <v>25</v>
      </c>
      <c r="E97" s="3">
        <v>723.44894482869699</v>
      </c>
      <c r="F97" s="3">
        <v>1267.6348809931201</v>
      </c>
      <c r="G97" s="3">
        <v>1277.24707039035</v>
      </c>
      <c r="H97" s="3">
        <v>0.75827744576593703</v>
      </c>
      <c r="I97" s="3">
        <v>76.549717781782505</v>
      </c>
      <c r="J97" s="2" t="s">
        <v>274</v>
      </c>
      <c r="K97" s="2" t="s">
        <v>189</v>
      </c>
      <c r="L97" s="3">
        <v>1693.78</v>
      </c>
      <c r="M97" s="2" t="s">
        <v>275</v>
      </c>
      <c r="N97" s="2" t="s">
        <v>133</v>
      </c>
      <c r="O97" s="3">
        <v>923.61</v>
      </c>
      <c r="P97" s="2" t="s">
        <v>42</v>
      </c>
    </row>
    <row r="98" spans="1:16" x14ac:dyDescent="0.25">
      <c r="A98" s="2" t="s">
        <v>7</v>
      </c>
      <c r="B98" s="2" t="s">
        <v>266</v>
      </c>
      <c r="C98" s="2" t="s">
        <v>266</v>
      </c>
      <c r="D98" s="6" t="s">
        <v>25</v>
      </c>
      <c r="E98" s="3">
        <v>749.89276917842096</v>
      </c>
      <c r="F98" s="3">
        <v>1277.24707039035</v>
      </c>
      <c r="G98" s="3">
        <v>1362.95931475153</v>
      </c>
      <c r="H98" s="3">
        <v>6.7107019736586597</v>
      </c>
      <c r="I98" s="3">
        <v>81.753894792822393</v>
      </c>
      <c r="J98" s="2" t="s">
        <v>276</v>
      </c>
      <c r="K98" s="2" t="s">
        <v>91</v>
      </c>
      <c r="L98" s="3">
        <v>1901.33</v>
      </c>
      <c r="M98" s="2" t="s">
        <v>277</v>
      </c>
      <c r="N98" s="2" t="s">
        <v>194</v>
      </c>
      <c r="O98" s="3">
        <v>950</v>
      </c>
      <c r="P98" s="2" t="s">
        <v>46</v>
      </c>
    </row>
    <row r="99" spans="1:16" x14ac:dyDescent="0.25">
      <c r="A99" s="2" t="s">
        <v>8</v>
      </c>
      <c r="B99" s="2" t="s">
        <v>266</v>
      </c>
      <c r="C99" s="2" t="s">
        <v>266</v>
      </c>
      <c r="D99" s="6" t="s">
        <v>25</v>
      </c>
      <c r="E99" s="3">
        <v>851.80859011491202</v>
      </c>
      <c r="F99" s="3">
        <v>1362.95931475153</v>
      </c>
      <c r="G99" s="3">
        <v>1345.0978505149001</v>
      </c>
      <c r="H99" s="3">
        <v>-1.3104913729495</v>
      </c>
      <c r="I99" s="3">
        <v>57.910810729607803</v>
      </c>
      <c r="J99" s="2" t="s">
        <v>278</v>
      </c>
      <c r="K99" s="2" t="s">
        <v>91</v>
      </c>
      <c r="L99" s="3">
        <v>1902</v>
      </c>
      <c r="M99" s="2" t="s">
        <v>279</v>
      </c>
      <c r="N99" s="2" t="s">
        <v>194</v>
      </c>
      <c r="O99" s="3">
        <v>1000</v>
      </c>
      <c r="P99" s="2" t="s">
        <v>49</v>
      </c>
    </row>
    <row r="100" spans="1:16" x14ac:dyDescent="0.25">
      <c r="A100" s="2" t="s">
        <v>5</v>
      </c>
      <c r="B100" s="2" t="s">
        <v>280</v>
      </c>
      <c r="C100" s="2" t="s">
        <v>280</v>
      </c>
      <c r="D100" s="9" t="s">
        <v>154</v>
      </c>
      <c r="E100" s="3"/>
      <c r="F100" s="3"/>
      <c r="G100" s="3">
        <v>4206.7995489414398</v>
      </c>
      <c r="H100" s="3"/>
      <c r="I100" s="3"/>
      <c r="J100" s="2" t="s">
        <v>281</v>
      </c>
      <c r="K100" s="2" t="s">
        <v>263</v>
      </c>
      <c r="L100" s="3">
        <v>5000</v>
      </c>
      <c r="M100" s="2" t="s">
        <v>282</v>
      </c>
      <c r="N100" s="2" t="s">
        <v>185</v>
      </c>
      <c r="O100" s="3">
        <v>2550</v>
      </c>
      <c r="P100" s="2" t="s">
        <v>40</v>
      </c>
    </row>
    <row r="101" spans="1:16" x14ac:dyDescent="0.25">
      <c r="A101" s="2" t="s">
        <v>6</v>
      </c>
      <c r="B101" s="2" t="s">
        <v>280</v>
      </c>
      <c r="C101" s="2" t="s">
        <v>280</v>
      </c>
      <c r="D101" s="9" t="s">
        <v>154</v>
      </c>
      <c r="E101" s="3"/>
      <c r="F101" s="3">
        <v>4206.7995489414398</v>
      </c>
      <c r="G101" s="3">
        <v>4371.8969465991004</v>
      </c>
      <c r="H101" s="3">
        <v>3.9245368298853598</v>
      </c>
      <c r="I101" s="3"/>
      <c r="J101" s="2" t="s">
        <v>283</v>
      </c>
      <c r="K101" s="2" t="s">
        <v>128</v>
      </c>
      <c r="L101" s="3">
        <v>5300</v>
      </c>
      <c r="M101" s="2" t="s">
        <v>284</v>
      </c>
      <c r="N101" s="2" t="s">
        <v>185</v>
      </c>
      <c r="O101" s="3">
        <v>2650</v>
      </c>
      <c r="P101" s="2" t="s">
        <v>42</v>
      </c>
    </row>
    <row r="102" spans="1:16" x14ac:dyDescent="0.25">
      <c r="A102" s="2" t="s">
        <v>7</v>
      </c>
      <c r="B102" s="2" t="s">
        <v>280</v>
      </c>
      <c r="C102" s="2" t="s">
        <v>280</v>
      </c>
      <c r="D102" s="9" t="s">
        <v>154</v>
      </c>
      <c r="E102" s="3"/>
      <c r="F102" s="3">
        <v>4371.8969465991004</v>
      </c>
      <c r="G102" s="3">
        <v>4600.2308180510399</v>
      </c>
      <c r="H102" s="3">
        <v>5.2227642655108104</v>
      </c>
      <c r="I102" s="3"/>
      <c r="J102" s="2" t="s">
        <v>285</v>
      </c>
      <c r="K102" s="2" t="s">
        <v>80</v>
      </c>
      <c r="L102" s="3">
        <v>6079.7</v>
      </c>
      <c r="M102" s="2" t="s">
        <v>286</v>
      </c>
      <c r="N102" s="2" t="s">
        <v>185</v>
      </c>
      <c r="O102" s="3">
        <v>3044.38</v>
      </c>
      <c r="P102" s="2" t="s">
        <v>46</v>
      </c>
    </row>
    <row r="103" spans="1:16" x14ac:dyDescent="0.25">
      <c r="A103" s="2" t="s">
        <v>8</v>
      </c>
      <c r="B103" s="2" t="s">
        <v>280</v>
      </c>
      <c r="C103" s="2" t="s">
        <v>280</v>
      </c>
      <c r="D103" s="9" t="s">
        <v>154</v>
      </c>
      <c r="E103" s="3"/>
      <c r="F103" s="3">
        <v>4600.2308180510399</v>
      </c>
      <c r="G103" s="3">
        <v>4970.65884257568</v>
      </c>
      <c r="H103" s="3">
        <v>8.05237909087319</v>
      </c>
      <c r="I103" s="3"/>
      <c r="J103" s="2" t="s">
        <v>287</v>
      </c>
      <c r="K103" s="2" t="s">
        <v>80</v>
      </c>
      <c r="L103" s="3">
        <v>6413.27</v>
      </c>
      <c r="M103" s="2" t="s">
        <v>288</v>
      </c>
      <c r="N103" s="2" t="s">
        <v>39</v>
      </c>
      <c r="O103" s="3">
        <v>3800</v>
      </c>
      <c r="P103" s="2" t="s">
        <v>49</v>
      </c>
    </row>
    <row r="104" spans="1:16" x14ac:dyDescent="0.25">
      <c r="A104" s="2" t="s">
        <v>5</v>
      </c>
      <c r="B104" s="2" t="s">
        <v>289</v>
      </c>
      <c r="C104" s="2" t="s">
        <v>289</v>
      </c>
      <c r="D104" s="9" t="s">
        <v>154</v>
      </c>
      <c r="E104" s="3"/>
      <c r="F104" s="3"/>
      <c r="G104" s="3">
        <v>6202.3575047263503</v>
      </c>
      <c r="H104" s="3"/>
      <c r="I104" s="3"/>
      <c r="J104" s="2" t="s">
        <v>290</v>
      </c>
      <c r="K104" s="2" t="s">
        <v>107</v>
      </c>
      <c r="L104" s="3">
        <v>8687.5</v>
      </c>
      <c r="M104" s="2" t="s">
        <v>291</v>
      </c>
      <c r="N104" s="2" t="s">
        <v>62</v>
      </c>
      <c r="O104" s="3">
        <v>3925</v>
      </c>
      <c r="P104" s="2" t="s">
        <v>40</v>
      </c>
    </row>
    <row r="105" spans="1:16" x14ac:dyDescent="0.25">
      <c r="A105" s="2" t="s">
        <v>6</v>
      </c>
      <c r="B105" s="2" t="s">
        <v>289</v>
      </c>
      <c r="C105" s="2" t="s">
        <v>289</v>
      </c>
      <c r="D105" s="9" t="s">
        <v>154</v>
      </c>
      <c r="E105" s="3"/>
      <c r="F105" s="3">
        <v>6202.3575047263503</v>
      </c>
      <c r="G105" s="3">
        <v>6298.8933956085602</v>
      </c>
      <c r="H105" s="3">
        <v>1.5564386736599001</v>
      </c>
      <c r="I105" s="3"/>
      <c r="J105" s="2" t="s">
        <v>292</v>
      </c>
      <c r="K105" s="2" t="s">
        <v>107</v>
      </c>
      <c r="L105" s="3">
        <v>9500</v>
      </c>
      <c r="M105" s="2" t="s">
        <v>293</v>
      </c>
      <c r="N105" s="2" t="s">
        <v>62</v>
      </c>
      <c r="O105" s="3">
        <v>3800</v>
      </c>
      <c r="P105" s="2" t="s">
        <v>42</v>
      </c>
    </row>
    <row r="106" spans="1:16" x14ac:dyDescent="0.25">
      <c r="A106" s="2" t="s">
        <v>7</v>
      </c>
      <c r="B106" s="2" t="s">
        <v>289</v>
      </c>
      <c r="C106" s="2" t="s">
        <v>289</v>
      </c>
      <c r="D106" s="9" t="s">
        <v>154</v>
      </c>
      <c r="E106" s="3"/>
      <c r="F106" s="3">
        <v>6298.8933956085602</v>
      </c>
      <c r="G106" s="3">
        <v>6892.4622955468003</v>
      </c>
      <c r="H106" s="3">
        <v>9.4233838018605098</v>
      </c>
      <c r="I106" s="3"/>
      <c r="J106" s="2" t="s">
        <v>294</v>
      </c>
      <c r="K106" s="2" t="s">
        <v>107</v>
      </c>
      <c r="L106" s="3">
        <v>10340</v>
      </c>
      <c r="M106" s="2" t="s">
        <v>295</v>
      </c>
      <c r="N106" s="2" t="s">
        <v>62</v>
      </c>
      <c r="O106" s="3">
        <v>3850</v>
      </c>
      <c r="P106" s="2" t="s">
        <v>46</v>
      </c>
    </row>
    <row r="107" spans="1:16" x14ac:dyDescent="0.25">
      <c r="A107" s="2" t="s">
        <v>8</v>
      </c>
      <c r="B107" s="2" t="s">
        <v>289</v>
      </c>
      <c r="C107" s="2" t="s">
        <v>289</v>
      </c>
      <c r="D107" s="9" t="s">
        <v>154</v>
      </c>
      <c r="E107" s="3"/>
      <c r="F107" s="3">
        <v>6892.4622955468003</v>
      </c>
      <c r="G107" s="3">
        <v>6708.4527520461797</v>
      </c>
      <c r="H107" s="3">
        <v>-2.6697214378598502</v>
      </c>
      <c r="I107" s="3"/>
      <c r="J107" s="2" t="s">
        <v>296</v>
      </c>
      <c r="K107" s="2" t="s">
        <v>116</v>
      </c>
      <c r="L107" s="3">
        <v>9200</v>
      </c>
      <c r="M107" s="2" t="s">
        <v>297</v>
      </c>
      <c r="N107" s="2" t="s">
        <v>62</v>
      </c>
      <c r="O107" s="3">
        <v>4000</v>
      </c>
      <c r="P107" s="2" t="s">
        <v>49</v>
      </c>
    </row>
    <row r="108" spans="1:16" x14ac:dyDescent="0.25">
      <c r="A108" s="2" t="s">
        <v>3</v>
      </c>
      <c r="B108" s="2" t="s">
        <v>298</v>
      </c>
      <c r="C108" s="2" t="s">
        <v>299</v>
      </c>
      <c r="D108" s="7" t="s">
        <v>52</v>
      </c>
      <c r="E108" s="3">
        <v>1738.96386786787</v>
      </c>
      <c r="F108" s="3">
        <v>2928.91679572354</v>
      </c>
      <c r="G108" s="3">
        <v>3165.3812084810802</v>
      </c>
      <c r="H108" s="3">
        <v>8.0734424788985795</v>
      </c>
      <c r="I108" s="3">
        <v>82.026853287189496</v>
      </c>
      <c r="J108" s="2" t="s">
        <v>300</v>
      </c>
      <c r="K108" s="2" t="s">
        <v>152</v>
      </c>
      <c r="L108" s="3">
        <v>4100</v>
      </c>
      <c r="M108" s="2" t="s">
        <v>301</v>
      </c>
      <c r="N108" s="2" t="s">
        <v>39</v>
      </c>
      <c r="O108" s="3">
        <v>2100</v>
      </c>
      <c r="P108" s="2" t="s">
        <v>30</v>
      </c>
    </row>
    <row r="109" spans="1:16" x14ac:dyDescent="0.25">
      <c r="A109" s="2" t="s">
        <v>4</v>
      </c>
      <c r="B109" s="2" t="s">
        <v>298</v>
      </c>
      <c r="C109" s="2" t="s">
        <v>299</v>
      </c>
      <c r="D109" s="7" t="s">
        <v>52</v>
      </c>
      <c r="E109" s="3">
        <v>1806.9530192526399</v>
      </c>
      <c r="F109" s="3">
        <v>3165.3812084810802</v>
      </c>
      <c r="G109" s="3">
        <v>3328.1693203786999</v>
      </c>
      <c r="H109" s="3">
        <v>5.1427648417655796</v>
      </c>
      <c r="I109" s="3">
        <v>84.186820848017703</v>
      </c>
      <c r="J109" s="2" t="s">
        <v>302</v>
      </c>
      <c r="K109" s="2" t="s">
        <v>135</v>
      </c>
      <c r="L109" s="3">
        <v>4133.33</v>
      </c>
      <c r="M109" s="2" t="s">
        <v>303</v>
      </c>
      <c r="N109" s="2" t="s">
        <v>59</v>
      </c>
      <c r="O109" s="3">
        <v>2282.59</v>
      </c>
      <c r="P109" s="2" t="s">
        <v>35</v>
      </c>
    </row>
    <row r="110" spans="1:16" x14ac:dyDescent="0.25">
      <c r="A110" s="2" t="s">
        <v>5</v>
      </c>
      <c r="B110" s="2" t="s">
        <v>298</v>
      </c>
      <c r="C110" s="2" t="s">
        <v>298</v>
      </c>
      <c r="D110" s="7" t="s">
        <v>52</v>
      </c>
      <c r="E110" s="3"/>
      <c r="F110" s="3"/>
      <c r="G110" s="3">
        <v>2939.7346322297299</v>
      </c>
      <c r="H110" s="3"/>
      <c r="I110" s="3"/>
      <c r="J110" s="2" t="s">
        <v>304</v>
      </c>
      <c r="K110" s="2" t="s">
        <v>133</v>
      </c>
      <c r="L110" s="3">
        <v>3900</v>
      </c>
      <c r="M110" s="2" t="s">
        <v>305</v>
      </c>
      <c r="N110" s="2" t="s">
        <v>39</v>
      </c>
      <c r="O110" s="3">
        <v>2000</v>
      </c>
      <c r="P110" s="2" t="s">
        <v>40</v>
      </c>
    </row>
    <row r="111" spans="1:16" x14ac:dyDescent="0.25">
      <c r="A111" s="2" t="s">
        <v>6</v>
      </c>
      <c r="B111" s="2" t="s">
        <v>298</v>
      </c>
      <c r="C111" s="2" t="s">
        <v>298</v>
      </c>
      <c r="D111" s="7" t="s">
        <v>52</v>
      </c>
      <c r="E111" s="3"/>
      <c r="F111" s="3">
        <v>2939.7346322297299</v>
      </c>
      <c r="G111" s="3">
        <v>3039.8294761126099</v>
      </c>
      <c r="H111" s="3">
        <v>3.4048938562513298</v>
      </c>
      <c r="I111" s="3"/>
      <c r="J111" s="2" t="s">
        <v>304</v>
      </c>
      <c r="K111" s="2" t="s">
        <v>133</v>
      </c>
      <c r="L111" s="3">
        <v>3900</v>
      </c>
      <c r="M111" s="2" t="s">
        <v>306</v>
      </c>
      <c r="N111" s="2" t="s">
        <v>91</v>
      </c>
      <c r="O111" s="3">
        <v>2250</v>
      </c>
      <c r="P111" s="2" t="s">
        <v>42</v>
      </c>
    </row>
    <row r="112" spans="1:16" x14ac:dyDescent="0.25">
      <c r="A112" s="2" t="s">
        <v>7</v>
      </c>
      <c r="B112" s="2" t="s">
        <v>298</v>
      </c>
      <c r="C112" s="2" t="s">
        <v>298</v>
      </c>
      <c r="D112" s="7" t="s">
        <v>52</v>
      </c>
      <c r="E112" s="3"/>
      <c r="F112" s="3">
        <v>3039.8294761126099</v>
      </c>
      <c r="G112" s="3">
        <v>3218.8178332615498</v>
      </c>
      <c r="H112" s="3">
        <v>5.8881051899607098</v>
      </c>
      <c r="I112" s="3"/>
      <c r="J112" s="2" t="s">
        <v>307</v>
      </c>
      <c r="K112" s="2" t="s">
        <v>152</v>
      </c>
      <c r="L112" s="3">
        <v>4209.71</v>
      </c>
      <c r="M112" s="2" t="s">
        <v>308</v>
      </c>
      <c r="N112" s="2" t="s">
        <v>80</v>
      </c>
      <c r="O112" s="3">
        <v>2394.41</v>
      </c>
      <c r="P112" s="2" t="s">
        <v>46</v>
      </c>
    </row>
    <row r="113" spans="1:16" x14ac:dyDescent="0.25">
      <c r="A113" s="2" t="s">
        <v>8</v>
      </c>
      <c r="B113" s="2" t="s">
        <v>298</v>
      </c>
      <c r="C113" s="2" t="s">
        <v>298</v>
      </c>
      <c r="D113" s="7" t="s">
        <v>52</v>
      </c>
      <c r="E113" s="3"/>
      <c r="F113" s="3">
        <v>3218.8178332615498</v>
      </c>
      <c r="G113" s="3">
        <v>3250.3191343826402</v>
      </c>
      <c r="H113" s="3">
        <v>0.97866057518288296</v>
      </c>
      <c r="I113" s="3"/>
      <c r="J113" s="2" t="s">
        <v>309</v>
      </c>
      <c r="K113" s="2" t="s">
        <v>152</v>
      </c>
      <c r="L113" s="3">
        <v>4200</v>
      </c>
      <c r="M113" s="2" t="s">
        <v>310</v>
      </c>
      <c r="N113" s="2" t="s">
        <v>76</v>
      </c>
      <c r="O113" s="3">
        <v>2335.0500000000002</v>
      </c>
      <c r="P113" s="2" t="s">
        <v>49</v>
      </c>
    </row>
    <row r="114" spans="1:16" x14ac:dyDescent="0.25">
      <c r="A114" s="2" t="s">
        <v>5</v>
      </c>
      <c r="B114" s="2" t="s">
        <v>311</v>
      </c>
      <c r="C114" s="2" t="s">
        <v>311</v>
      </c>
      <c r="D114" s="9" t="s">
        <v>154</v>
      </c>
      <c r="E114" s="3"/>
      <c r="F114" s="3"/>
      <c r="G114" s="3">
        <v>2387.7568033521402</v>
      </c>
      <c r="H114" s="3"/>
      <c r="I114" s="3"/>
      <c r="J114" s="2" t="s">
        <v>312</v>
      </c>
      <c r="K114" s="2" t="s">
        <v>156</v>
      </c>
      <c r="L114" s="3">
        <v>3125</v>
      </c>
      <c r="M114" s="2" t="s">
        <v>313</v>
      </c>
      <c r="N114" s="2" t="s">
        <v>182</v>
      </c>
      <c r="O114" s="3">
        <v>1806.47</v>
      </c>
      <c r="P114" s="2" t="s">
        <v>40</v>
      </c>
    </row>
    <row r="115" spans="1:16" x14ac:dyDescent="0.25">
      <c r="A115" s="2" t="s">
        <v>6</v>
      </c>
      <c r="B115" s="2" t="s">
        <v>311</v>
      </c>
      <c r="C115" s="2" t="s">
        <v>311</v>
      </c>
      <c r="D115" s="9" t="s">
        <v>154</v>
      </c>
      <c r="E115" s="3"/>
      <c r="F115" s="3">
        <v>2387.7568033521402</v>
      </c>
      <c r="G115" s="3">
        <v>2392.4710545135099</v>
      </c>
      <c r="H115" s="3">
        <v>0.19743430967339801</v>
      </c>
      <c r="I115" s="3"/>
      <c r="J115" s="2" t="s">
        <v>314</v>
      </c>
      <c r="K115" s="2" t="s">
        <v>156</v>
      </c>
      <c r="L115" s="3">
        <v>3148.21</v>
      </c>
      <c r="M115" s="2" t="s">
        <v>315</v>
      </c>
      <c r="N115" s="2" t="s">
        <v>135</v>
      </c>
      <c r="O115" s="3">
        <v>1900</v>
      </c>
      <c r="P115" s="2" t="s">
        <v>42</v>
      </c>
    </row>
    <row r="116" spans="1:16" x14ac:dyDescent="0.25">
      <c r="A116" s="2" t="s">
        <v>7</v>
      </c>
      <c r="B116" s="2" t="s">
        <v>311</v>
      </c>
      <c r="C116" s="2" t="s">
        <v>311</v>
      </c>
      <c r="D116" s="9" t="s">
        <v>154</v>
      </c>
      <c r="E116" s="3"/>
      <c r="F116" s="3">
        <v>2392.4710545135099</v>
      </c>
      <c r="G116" s="3">
        <v>2487.6765241773001</v>
      </c>
      <c r="H116" s="3">
        <v>3.9793781197132798</v>
      </c>
      <c r="I116" s="3"/>
      <c r="J116" s="2" t="s">
        <v>316</v>
      </c>
      <c r="K116" s="2" t="s">
        <v>160</v>
      </c>
      <c r="L116" s="3">
        <v>3235.2</v>
      </c>
      <c r="M116" s="2" t="s">
        <v>317</v>
      </c>
      <c r="N116" s="2" t="s">
        <v>318</v>
      </c>
      <c r="O116" s="3">
        <v>2000</v>
      </c>
      <c r="P116" s="2" t="s">
        <v>46</v>
      </c>
    </row>
    <row r="117" spans="1:16" x14ac:dyDescent="0.25">
      <c r="A117" s="2" t="s">
        <v>8</v>
      </c>
      <c r="B117" s="2" t="s">
        <v>311</v>
      </c>
      <c r="C117" s="2" t="s">
        <v>311</v>
      </c>
      <c r="D117" s="9" t="s">
        <v>154</v>
      </c>
      <c r="E117" s="3"/>
      <c r="F117" s="3">
        <v>2487.6765241773001</v>
      </c>
      <c r="G117" s="3">
        <v>2545.7164478089499</v>
      </c>
      <c r="H117" s="3">
        <v>2.3330976944780799</v>
      </c>
      <c r="I117" s="3"/>
      <c r="J117" s="2" t="s">
        <v>319</v>
      </c>
      <c r="K117" s="2" t="s">
        <v>156</v>
      </c>
      <c r="L117" s="3">
        <v>3223.21</v>
      </c>
      <c r="M117" s="2" t="s">
        <v>320</v>
      </c>
      <c r="N117" s="2" t="s">
        <v>74</v>
      </c>
      <c r="O117" s="3">
        <v>2100</v>
      </c>
      <c r="P117" s="2" t="s">
        <v>49</v>
      </c>
    </row>
    <row r="118" spans="1:16" x14ac:dyDescent="0.25">
      <c r="A118" s="2" t="s">
        <v>3</v>
      </c>
      <c r="B118" s="2" t="s">
        <v>321</v>
      </c>
      <c r="C118" s="2" t="s">
        <v>321</v>
      </c>
      <c r="D118" s="8" t="s">
        <v>102</v>
      </c>
      <c r="E118" s="3">
        <v>2222.9852723586</v>
      </c>
      <c r="F118" s="3">
        <v>3706.8926611253701</v>
      </c>
      <c r="G118" s="3">
        <v>3875.65894324077</v>
      </c>
      <c r="H118" s="3">
        <v>4.5527695982480996</v>
      </c>
      <c r="I118" s="3">
        <v>74.344787229682396</v>
      </c>
      <c r="J118" s="2" t="s">
        <v>322</v>
      </c>
      <c r="K118" s="2" t="s">
        <v>27</v>
      </c>
      <c r="L118" s="3">
        <v>5308.98</v>
      </c>
      <c r="M118" s="2" t="s">
        <v>323</v>
      </c>
      <c r="N118" s="2" t="s">
        <v>59</v>
      </c>
      <c r="O118" s="3">
        <v>2562.63</v>
      </c>
      <c r="P118" s="2" t="s">
        <v>30</v>
      </c>
    </row>
    <row r="119" spans="1:16" x14ac:dyDescent="0.25">
      <c r="A119" s="2" t="s">
        <v>4</v>
      </c>
      <c r="B119" s="2" t="s">
        <v>321</v>
      </c>
      <c r="C119" s="2" t="s">
        <v>321</v>
      </c>
      <c r="D119" s="8" t="s">
        <v>102</v>
      </c>
      <c r="E119" s="3">
        <v>2303.96398816992</v>
      </c>
      <c r="F119" s="3">
        <v>3875.65894324077</v>
      </c>
      <c r="G119" s="3">
        <v>4014.2349042126002</v>
      </c>
      <c r="H119" s="3">
        <v>3.5755458104359699</v>
      </c>
      <c r="I119" s="3">
        <v>74.231668759770201</v>
      </c>
      <c r="J119" s="2" t="s">
        <v>324</v>
      </c>
      <c r="K119" s="2" t="s">
        <v>27</v>
      </c>
      <c r="L119" s="3">
        <v>5850.39</v>
      </c>
      <c r="M119" s="2" t="s">
        <v>325</v>
      </c>
      <c r="N119" s="2" t="s">
        <v>59</v>
      </c>
      <c r="O119" s="3">
        <v>2565.63</v>
      </c>
      <c r="P119" s="2" t="s">
        <v>35</v>
      </c>
    </row>
    <row r="120" spans="1:16" x14ac:dyDescent="0.25">
      <c r="A120" s="2" t="s">
        <v>3</v>
      </c>
      <c r="B120" s="2" t="s">
        <v>326</v>
      </c>
      <c r="C120" s="2" t="s">
        <v>327</v>
      </c>
      <c r="D120" s="6" t="s">
        <v>25</v>
      </c>
      <c r="E120" s="3">
        <v>872.63197516621904</v>
      </c>
      <c r="F120" s="3">
        <v>1733.4783015384401</v>
      </c>
      <c r="G120" s="3">
        <v>1778.9604773569499</v>
      </c>
      <c r="H120" s="3">
        <v>2.6237522429984601</v>
      </c>
      <c r="I120" s="3">
        <v>103.86148204322799</v>
      </c>
      <c r="J120" s="2" t="s">
        <v>328</v>
      </c>
      <c r="K120" s="2" t="s">
        <v>62</v>
      </c>
      <c r="L120" s="3">
        <v>2839.31</v>
      </c>
      <c r="M120" s="2" t="s">
        <v>329</v>
      </c>
      <c r="N120" s="2" t="s">
        <v>32</v>
      </c>
      <c r="O120" s="3">
        <v>1075.42</v>
      </c>
      <c r="P120" s="2" t="s">
        <v>30</v>
      </c>
    </row>
    <row r="121" spans="1:16" x14ac:dyDescent="0.25">
      <c r="A121" s="2" t="s">
        <v>4</v>
      </c>
      <c r="B121" s="2" t="s">
        <v>326</v>
      </c>
      <c r="C121" s="2" t="s">
        <v>327</v>
      </c>
      <c r="D121" s="6" t="s">
        <v>25</v>
      </c>
      <c r="E121" s="3">
        <v>1006.36271682854</v>
      </c>
      <c r="F121" s="3">
        <v>1778.9604773569499</v>
      </c>
      <c r="G121" s="3">
        <v>1818.2876324441499</v>
      </c>
      <c r="H121" s="3">
        <v>2.21068177667639</v>
      </c>
      <c r="I121" s="3">
        <v>80.679152957326593</v>
      </c>
      <c r="J121" s="2" t="s">
        <v>330</v>
      </c>
      <c r="K121" s="2" t="s">
        <v>62</v>
      </c>
      <c r="L121" s="3">
        <v>2840.23</v>
      </c>
      <c r="M121" s="2" t="s">
        <v>331</v>
      </c>
      <c r="N121" s="2" t="s">
        <v>74</v>
      </c>
      <c r="O121" s="3">
        <v>1038.46</v>
      </c>
      <c r="P121" s="2" t="s">
        <v>35</v>
      </c>
    </row>
    <row r="122" spans="1:16" x14ac:dyDescent="0.25">
      <c r="A122" s="2" t="s">
        <v>5</v>
      </c>
      <c r="B122" s="2" t="s">
        <v>326</v>
      </c>
      <c r="C122" s="2" t="s">
        <v>326</v>
      </c>
      <c r="D122" s="6" t="s">
        <v>25</v>
      </c>
      <c r="E122" s="3">
        <v>1051.76843687203</v>
      </c>
      <c r="F122" s="3">
        <v>1818.2876324441499</v>
      </c>
      <c r="G122" s="3">
        <v>1790.91087652799</v>
      </c>
      <c r="H122" s="3">
        <v>-1.5056339507387799</v>
      </c>
      <c r="I122" s="3">
        <v>70.276157160046395</v>
      </c>
      <c r="J122" s="2" t="s">
        <v>332</v>
      </c>
      <c r="K122" s="2" t="s">
        <v>263</v>
      </c>
      <c r="L122" s="3">
        <v>2687.5</v>
      </c>
      <c r="M122" s="2" t="s">
        <v>333</v>
      </c>
      <c r="N122" s="2" t="s">
        <v>91</v>
      </c>
      <c r="O122" s="3">
        <v>972.45</v>
      </c>
      <c r="P122" s="2" t="s">
        <v>40</v>
      </c>
    </row>
    <row r="123" spans="1:16" x14ac:dyDescent="0.25">
      <c r="A123" s="2" t="s">
        <v>6</v>
      </c>
      <c r="B123" s="2" t="s">
        <v>326</v>
      </c>
      <c r="C123" s="2" t="s">
        <v>326</v>
      </c>
      <c r="D123" s="6" t="s">
        <v>25</v>
      </c>
      <c r="E123" s="3">
        <v>1130.6297085106501</v>
      </c>
      <c r="F123" s="3">
        <v>1790.91087652799</v>
      </c>
      <c r="G123" s="3">
        <v>1756.40726696976</v>
      </c>
      <c r="H123" s="3">
        <v>-1.9265955671185</v>
      </c>
      <c r="I123" s="3">
        <v>55.347701705399899</v>
      </c>
      <c r="J123" s="2" t="s">
        <v>334</v>
      </c>
      <c r="K123" s="2" t="s">
        <v>105</v>
      </c>
      <c r="L123" s="3">
        <v>2782.21</v>
      </c>
      <c r="M123" s="2" t="s">
        <v>335</v>
      </c>
      <c r="N123" s="2" t="s">
        <v>91</v>
      </c>
      <c r="O123" s="3">
        <v>931.78</v>
      </c>
      <c r="P123" s="2" t="s">
        <v>42</v>
      </c>
    </row>
    <row r="124" spans="1:16" x14ac:dyDescent="0.25">
      <c r="A124" s="2" t="s">
        <v>7</v>
      </c>
      <c r="B124" s="2" t="s">
        <v>326</v>
      </c>
      <c r="C124" s="2" t="s">
        <v>326</v>
      </c>
      <c r="D124" s="6" t="s">
        <v>25</v>
      </c>
      <c r="E124" s="3">
        <v>1254.45056339859</v>
      </c>
      <c r="F124" s="3">
        <v>1756.40726696976</v>
      </c>
      <c r="G124" s="3">
        <v>1881.7562755561701</v>
      </c>
      <c r="H124" s="3">
        <v>7.1366710297588503</v>
      </c>
      <c r="I124" s="3">
        <v>50.0064116084463</v>
      </c>
      <c r="J124" s="2" t="s">
        <v>336</v>
      </c>
      <c r="K124" s="2" t="s">
        <v>105</v>
      </c>
      <c r="L124" s="3">
        <v>3021.19</v>
      </c>
      <c r="M124" s="2" t="s">
        <v>337</v>
      </c>
      <c r="N124" s="2" t="s">
        <v>91</v>
      </c>
      <c r="O124" s="3">
        <v>1098.24</v>
      </c>
      <c r="P124" s="2" t="s">
        <v>46</v>
      </c>
    </row>
    <row r="125" spans="1:16" x14ac:dyDescent="0.25">
      <c r="A125" s="2" t="s">
        <v>8</v>
      </c>
      <c r="B125" s="2" t="s">
        <v>326</v>
      </c>
      <c r="C125" s="2" t="s">
        <v>326</v>
      </c>
      <c r="D125" s="6" t="s">
        <v>25</v>
      </c>
      <c r="E125" s="3">
        <v>1413.5653635420099</v>
      </c>
      <c r="F125" s="3">
        <v>1881.7562755561701</v>
      </c>
      <c r="G125" s="3">
        <v>1948.6077123661701</v>
      </c>
      <c r="H125" s="3">
        <v>3.5526086814959998</v>
      </c>
      <c r="I125" s="3">
        <v>37.850555950486097</v>
      </c>
      <c r="J125" s="2" t="s">
        <v>338</v>
      </c>
      <c r="K125" s="2" t="s">
        <v>105</v>
      </c>
      <c r="L125" s="3">
        <v>3044.25</v>
      </c>
      <c r="M125" s="2" t="s">
        <v>339</v>
      </c>
      <c r="N125" s="2" t="s">
        <v>91</v>
      </c>
      <c r="O125" s="3">
        <v>1200</v>
      </c>
      <c r="P125" s="2" t="s">
        <v>49</v>
      </c>
    </row>
    <row r="126" spans="1:16" x14ac:dyDescent="0.25">
      <c r="A126" s="2" t="s">
        <v>3</v>
      </c>
      <c r="B126" s="2" t="s">
        <v>340</v>
      </c>
      <c r="C126" s="2" t="s">
        <v>341</v>
      </c>
      <c r="D126" s="7" t="s">
        <v>52</v>
      </c>
      <c r="E126" s="3">
        <v>940.15973585512199</v>
      </c>
      <c r="F126" s="3">
        <v>2428.6473439224601</v>
      </c>
      <c r="G126" s="3">
        <v>2485.13886536679</v>
      </c>
      <c r="H126" s="3">
        <v>2.3260487606688698</v>
      </c>
      <c r="I126" s="3">
        <v>164.33155671216099</v>
      </c>
      <c r="J126" s="2" t="s">
        <v>342</v>
      </c>
      <c r="K126" s="2" t="s">
        <v>135</v>
      </c>
      <c r="L126" s="3">
        <v>3400</v>
      </c>
      <c r="M126" s="2" t="s">
        <v>343</v>
      </c>
      <c r="N126" s="2" t="s">
        <v>39</v>
      </c>
      <c r="O126" s="3">
        <v>1500</v>
      </c>
      <c r="P126" s="2" t="s">
        <v>30</v>
      </c>
    </row>
    <row r="127" spans="1:16" x14ac:dyDescent="0.25">
      <c r="A127" s="2" t="s">
        <v>4</v>
      </c>
      <c r="B127" s="2" t="s">
        <v>340</v>
      </c>
      <c r="C127" s="2" t="s">
        <v>341</v>
      </c>
      <c r="D127" s="7" t="s">
        <v>52</v>
      </c>
      <c r="E127" s="3">
        <v>1002.10066976052</v>
      </c>
      <c r="F127" s="3">
        <v>2485.13886536679</v>
      </c>
      <c r="G127" s="3">
        <v>2512.32651705328</v>
      </c>
      <c r="H127" s="3">
        <v>1.094009355589</v>
      </c>
      <c r="I127" s="3">
        <v>150.706001189847</v>
      </c>
      <c r="J127" s="2" t="s">
        <v>344</v>
      </c>
      <c r="K127" s="2" t="s">
        <v>135</v>
      </c>
      <c r="L127" s="3">
        <v>3500</v>
      </c>
      <c r="M127" s="2" t="s">
        <v>345</v>
      </c>
      <c r="N127" s="2" t="s">
        <v>39</v>
      </c>
      <c r="O127" s="3">
        <v>1600</v>
      </c>
      <c r="P127" s="2" t="s">
        <v>35</v>
      </c>
    </row>
    <row r="128" spans="1:16" x14ac:dyDescent="0.25">
      <c r="A128" s="2" t="s">
        <v>5</v>
      </c>
      <c r="B128" s="2" t="s">
        <v>340</v>
      </c>
      <c r="C128" s="2" t="s">
        <v>340</v>
      </c>
      <c r="D128" s="7" t="s">
        <v>52</v>
      </c>
      <c r="E128" s="3"/>
      <c r="F128" s="3"/>
      <c r="G128" s="3">
        <v>2508.1549602219002</v>
      </c>
      <c r="H128" s="3"/>
      <c r="I128" s="3"/>
      <c r="J128" s="2" t="s">
        <v>346</v>
      </c>
      <c r="K128" s="2" t="s">
        <v>133</v>
      </c>
      <c r="L128" s="3">
        <v>4500</v>
      </c>
      <c r="M128" s="2" t="s">
        <v>347</v>
      </c>
      <c r="N128" s="2" t="s">
        <v>74</v>
      </c>
      <c r="O128" s="3">
        <v>1416.67</v>
      </c>
      <c r="P128" s="2" t="s">
        <v>40</v>
      </c>
    </row>
    <row r="129" spans="1:16" x14ac:dyDescent="0.25">
      <c r="A129" s="2" t="s">
        <v>6</v>
      </c>
      <c r="B129" s="2" t="s">
        <v>340</v>
      </c>
      <c r="C129" s="2" t="s">
        <v>340</v>
      </c>
      <c r="D129" s="7" t="s">
        <v>52</v>
      </c>
      <c r="E129" s="3"/>
      <c r="F129" s="3">
        <v>2508.1549602219002</v>
      </c>
      <c r="G129" s="3">
        <v>2564.95182040297</v>
      </c>
      <c r="H129" s="3">
        <v>2.2644876844467698</v>
      </c>
      <c r="I129" s="3"/>
      <c r="J129" s="2" t="s">
        <v>346</v>
      </c>
      <c r="K129" s="2" t="s">
        <v>133</v>
      </c>
      <c r="L129" s="3">
        <v>4500</v>
      </c>
      <c r="M129" s="2" t="s">
        <v>347</v>
      </c>
      <c r="N129" s="2" t="s">
        <v>74</v>
      </c>
      <c r="O129" s="3">
        <v>1416.67</v>
      </c>
      <c r="P129" s="2" t="s">
        <v>42</v>
      </c>
    </row>
    <row r="130" spans="1:16" x14ac:dyDescent="0.25">
      <c r="A130" s="2" t="s">
        <v>7</v>
      </c>
      <c r="B130" s="2" t="s">
        <v>340</v>
      </c>
      <c r="C130" s="2" t="s">
        <v>340</v>
      </c>
      <c r="D130" s="7" t="s">
        <v>52</v>
      </c>
      <c r="E130" s="3"/>
      <c r="F130" s="3">
        <v>2564.95182040297</v>
      </c>
      <c r="G130" s="3">
        <v>2671.7289628642802</v>
      </c>
      <c r="H130" s="3">
        <v>4.1629297522062396</v>
      </c>
      <c r="I130" s="3"/>
      <c r="J130" s="2" t="s">
        <v>346</v>
      </c>
      <c r="K130" s="2" t="s">
        <v>133</v>
      </c>
      <c r="L130" s="3">
        <v>4500</v>
      </c>
      <c r="M130" s="2" t="s">
        <v>348</v>
      </c>
      <c r="N130" s="2" t="s">
        <v>67</v>
      </c>
      <c r="O130" s="3">
        <v>1523</v>
      </c>
      <c r="P130" s="2" t="s">
        <v>46</v>
      </c>
    </row>
    <row r="131" spans="1:16" x14ac:dyDescent="0.25">
      <c r="A131" s="2" t="s">
        <v>8</v>
      </c>
      <c r="B131" s="2" t="s">
        <v>340</v>
      </c>
      <c r="C131" s="2" t="s">
        <v>340</v>
      </c>
      <c r="D131" s="7" t="s">
        <v>52</v>
      </c>
      <c r="E131" s="3"/>
      <c r="F131" s="3">
        <v>2671.7289628642802</v>
      </c>
      <c r="G131" s="3">
        <v>2517.8856093511199</v>
      </c>
      <c r="H131" s="3">
        <v>-5.7581946242118898</v>
      </c>
      <c r="I131" s="3"/>
      <c r="J131" s="2" t="s">
        <v>349</v>
      </c>
      <c r="K131" s="2" t="s">
        <v>91</v>
      </c>
      <c r="L131" s="3">
        <v>3800</v>
      </c>
      <c r="M131" s="2" t="s">
        <v>350</v>
      </c>
      <c r="N131" s="2" t="s">
        <v>74</v>
      </c>
      <c r="O131" s="3">
        <v>1610.02</v>
      </c>
      <c r="P131" s="2" t="s">
        <v>49</v>
      </c>
    </row>
    <row r="132" spans="1:16" x14ac:dyDescent="0.25">
      <c r="A132" s="2" t="s">
        <v>3</v>
      </c>
      <c r="B132" s="2" t="s">
        <v>351</v>
      </c>
      <c r="C132" s="2" t="s">
        <v>352</v>
      </c>
      <c r="D132" s="6" t="s">
        <v>25</v>
      </c>
      <c r="E132" s="3">
        <v>2205.0440797179699</v>
      </c>
      <c r="F132" s="3">
        <v>4136.1425292325002</v>
      </c>
      <c r="G132" s="3">
        <v>4203.7597581405698</v>
      </c>
      <c r="H132" s="3">
        <v>1.63478962415296</v>
      </c>
      <c r="I132" s="3">
        <v>90.642889945231104</v>
      </c>
      <c r="J132" s="2" t="s">
        <v>353</v>
      </c>
      <c r="K132" s="2" t="s">
        <v>116</v>
      </c>
      <c r="L132" s="3">
        <v>5583</v>
      </c>
      <c r="M132" s="2" t="s">
        <v>354</v>
      </c>
      <c r="N132" s="2" t="s">
        <v>91</v>
      </c>
      <c r="O132" s="3">
        <v>2713.69</v>
      </c>
      <c r="P132" s="2" t="s">
        <v>30</v>
      </c>
    </row>
    <row r="133" spans="1:16" x14ac:dyDescent="0.25">
      <c r="A133" s="2" t="s">
        <v>4</v>
      </c>
      <c r="B133" s="2" t="s">
        <v>351</v>
      </c>
      <c r="C133" s="2" t="s">
        <v>352</v>
      </c>
      <c r="D133" s="6" t="s">
        <v>25</v>
      </c>
      <c r="E133" s="3">
        <v>2266.1885965523602</v>
      </c>
      <c r="F133" s="3">
        <v>4203.7597581405698</v>
      </c>
      <c r="G133" s="3">
        <v>4287.6540179701396</v>
      </c>
      <c r="H133" s="3">
        <v>1.9956958688495601</v>
      </c>
      <c r="I133" s="3">
        <v>89.201111703285605</v>
      </c>
      <c r="J133" s="2" t="s">
        <v>355</v>
      </c>
      <c r="K133" s="2" t="s">
        <v>116</v>
      </c>
      <c r="L133" s="3">
        <v>5748.4</v>
      </c>
      <c r="M133" s="2" t="s">
        <v>356</v>
      </c>
      <c r="N133" s="2" t="s">
        <v>91</v>
      </c>
      <c r="O133" s="3">
        <v>2716.99</v>
      </c>
      <c r="P133" s="2" t="s">
        <v>35</v>
      </c>
    </row>
    <row r="134" spans="1:16" x14ac:dyDescent="0.25">
      <c r="A134" s="2" t="s">
        <v>5</v>
      </c>
      <c r="B134" s="2" t="s">
        <v>351</v>
      </c>
      <c r="C134" s="2" t="s">
        <v>351</v>
      </c>
      <c r="D134" s="6" t="s">
        <v>25</v>
      </c>
      <c r="E134" s="3">
        <v>2457.9634949297101</v>
      </c>
      <c r="F134" s="3">
        <v>4287.6540179701396</v>
      </c>
      <c r="G134" s="3">
        <v>5117.8059351929396</v>
      </c>
      <c r="H134" s="3">
        <v>19.3614483291684</v>
      </c>
      <c r="I134" s="3">
        <v>108.21326052034399</v>
      </c>
      <c r="J134" s="2" t="s">
        <v>357</v>
      </c>
      <c r="K134" s="2" t="s">
        <v>173</v>
      </c>
      <c r="L134" s="3">
        <v>8696.0499999999993</v>
      </c>
      <c r="M134" s="2" t="s">
        <v>358</v>
      </c>
      <c r="N134" s="2" t="s">
        <v>160</v>
      </c>
      <c r="O134" s="3">
        <v>3196.67</v>
      </c>
      <c r="P134" s="2" t="s">
        <v>40</v>
      </c>
    </row>
    <row r="135" spans="1:16" x14ac:dyDescent="0.25">
      <c r="A135" s="2" t="s">
        <v>6</v>
      </c>
      <c r="B135" s="2" t="s">
        <v>351</v>
      </c>
      <c r="C135" s="2" t="s">
        <v>351</v>
      </c>
      <c r="D135" s="6" t="s">
        <v>25</v>
      </c>
      <c r="E135" s="3">
        <v>2711.7727629978699</v>
      </c>
      <c r="F135" s="3">
        <v>5117.8059351929396</v>
      </c>
      <c r="G135" s="3">
        <v>5233.1514442468497</v>
      </c>
      <c r="H135" s="3">
        <v>2.2538077940924302</v>
      </c>
      <c r="I135" s="3">
        <v>92.978980969688394</v>
      </c>
      <c r="J135" s="2" t="s">
        <v>359</v>
      </c>
      <c r="K135" s="2" t="s">
        <v>173</v>
      </c>
      <c r="L135" s="3">
        <v>8517.33</v>
      </c>
      <c r="M135" s="2" t="s">
        <v>360</v>
      </c>
      <c r="N135" s="2" t="s">
        <v>263</v>
      </c>
      <c r="O135" s="3">
        <v>3568.18</v>
      </c>
      <c r="P135" s="2" t="s">
        <v>42</v>
      </c>
    </row>
    <row r="136" spans="1:16" x14ac:dyDescent="0.25">
      <c r="A136" s="2" t="s">
        <v>7</v>
      </c>
      <c r="B136" s="2" t="s">
        <v>351</v>
      </c>
      <c r="C136" s="2" t="s">
        <v>351</v>
      </c>
      <c r="D136" s="6" t="s">
        <v>25</v>
      </c>
      <c r="E136" s="3">
        <v>2972.1141005129698</v>
      </c>
      <c r="F136" s="3">
        <v>5233.1514442468497</v>
      </c>
      <c r="G136" s="3">
        <v>5482.6327859487901</v>
      </c>
      <c r="H136" s="3">
        <v>4.7673250881399403</v>
      </c>
      <c r="I136" s="3">
        <v>84.469121996444301</v>
      </c>
      <c r="J136" s="2" t="s">
        <v>361</v>
      </c>
      <c r="K136" s="2" t="s">
        <v>173</v>
      </c>
      <c r="L136" s="3">
        <v>9965.2800000000007</v>
      </c>
      <c r="M136" s="2" t="s">
        <v>362</v>
      </c>
      <c r="N136" s="2" t="s">
        <v>160</v>
      </c>
      <c r="O136" s="3">
        <v>3415</v>
      </c>
      <c r="P136" s="2" t="s">
        <v>46</v>
      </c>
    </row>
    <row r="137" spans="1:16" x14ac:dyDescent="0.25">
      <c r="A137" s="2" t="s">
        <v>8</v>
      </c>
      <c r="B137" s="2" t="s">
        <v>351</v>
      </c>
      <c r="C137" s="2" t="s">
        <v>351</v>
      </c>
      <c r="D137" s="6" t="s">
        <v>25</v>
      </c>
      <c r="E137" s="3">
        <v>3224.9851671523202</v>
      </c>
      <c r="F137" s="3">
        <v>5482.6327859487901</v>
      </c>
      <c r="G137" s="3">
        <v>5417.3963473999602</v>
      </c>
      <c r="H137" s="3">
        <v>-1.18987430119376</v>
      </c>
      <c r="I137" s="3">
        <v>67.982054695263798</v>
      </c>
      <c r="J137" s="2" t="s">
        <v>363</v>
      </c>
      <c r="K137" s="2" t="s">
        <v>173</v>
      </c>
      <c r="L137" s="3">
        <v>9000</v>
      </c>
      <c r="M137" s="2" t="s">
        <v>364</v>
      </c>
      <c r="N137" s="2" t="s">
        <v>263</v>
      </c>
      <c r="O137" s="3">
        <v>3500</v>
      </c>
      <c r="P137" s="2" t="s">
        <v>49</v>
      </c>
    </row>
    <row r="138" spans="1:16" x14ac:dyDescent="0.25">
      <c r="A138" s="2" t="s">
        <v>3</v>
      </c>
      <c r="B138" s="2" t="s">
        <v>365</v>
      </c>
      <c r="C138" s="2" t="s">
        <v>366</v>
      </c>
      <c r="D138" s="6" t="s">
        <v>25</v>
      </c>
      <c r="E138" s="3">
        <v>557.32955786346099</v>
      </c>
      <c r="F138" s="3">
        <v>1080.4421040131899</v>
      </c>
      <c r="G138" s="3">
        <v>1156.9086378729901</v>
      </c>
      <c r="H138" s="3">
        <v>7.07733746914991</v>
      </c>
      <c r="I138" s="3">
        <v>107.58070724044001</v>
      </c>
      <c r="J138" s="2" t="s">
        <v>367</v>
      </c>
      <c r="K138" s="2" t="s">
        <v>34</v>
      </c>
      <c r="L138" s="3">
        <v>1600</v>
      </c>
      <c r="M138" s="2" t="s">
        <v>368</v>
      </c>
      <c r="N138" s="2" t="s">
        <v>29</v>
      </c>
      <c r="O138" s="3">
        <v>830.36</v>
      </c>
      <c r="P138" s="2" t="s">
        <v>30</v>
      </c>
    </row>
    <row r="139" spans="1:16" x14ac:dyDescent="0.25">
      <c r="A139" s="2" t="s">
        <v>4</v>
      </c>
      <c r="B139" s="2" t="s">
        <v>365</v>
      </c>
      <c r="C139" s="2" t="s">
        <v>366</v>
      </c>
      <c r="D139" s="6" t="s">
        <v>25</v>
      </c>
      <c r="E139" s="3">
        <v>577.77147320392305</v>
      </c>
      <c r="F139" s="3">
        <v>1156.9086378729901</v>
      </c>
      <c r="G139" s="3">
        <v>1151.13471287571</v>
      </c>
      <c r="H139" s="3">
        <v>-0.4990821926865</v>
      </c>
      <c r="I139" s="3">
        <v>99.2370281786866</v>
      </c>
      <c r="J139" s="2" t="s">
        <v>369</v>
      </c>
      <c r="K139" s="2" t="s">
        <v>39</v>
      </c>
      <c r="L139" s="3">
        <v>1800</v>
      </c>
      <c r="M139" s="2" t="s">
        <v>370</v>
      </c>
      <c r="N139" s="2" t="s">
        <v>29</v>
      </c>
      <c r="O139" s="3">
        <v>777.99</v>
      </c>
      <c r="P139" s="2" t="s">
        <v>35</v>
      </c>
    </row>
    <row r="140" spans="1:16" x14ac:dyDescent="0.25">
      <c r="A140" s="2" t="s">
        <v>5</v>
      </c>
      <c r="B140" s="2" t="s">
        <v>365</v>
      </c>
      <c r="C140" s="2" t="s">
        <v>365</v>
      </c>
      <c r="D140" s="6" t="s">
        <v>25</v>
      </c>
      <c r="E140" s="3">
        <v>633.91205304567404</v>
      </c>
      <c r="F140" s="3">
        <v>1151.13471287571</v>
      </c>
      <c r="G140" s="3">
        <v>1168.3379724972699</v>
      </c>
      <c r="H140" s="3">
        <v>1.4944610243380601</v>
      </c>
      <c r="I140" s="3">
        <v>84.306003787734596</v>
      </c>
      <c r="J140" s="2" t="s">
        <v>371</v>
      </c>
      <c r="K140" s="2" t="s">
        <v>116</v>
      </c>
      <c r="L140" s="3">
        <v>1762.5</v>
      </c>
      <c r="M140" s="2" t="s">
        <v>372</v>
      </c>
      <c r="N140" s="2" t="s">
        <v>189</v>
      </c>
      <c r="O140" s="3">
        <v>692.27</v>
      </c>
      <c r="P140" s="2" t="s">
        <v>40</v>
      </c>
    </row>
    <row r="141" spans="1:16" x14ac:dyDescent="0.25">
      <c r="A141" s="2" t="s">
        <v>6</v>
      </c>
      <c r="B141" s="2" t="s">
        <v>365</v>
      </c>
      <c r="C141" s="2" t="s">
        <v>365</v>
      </c>
      <c r="D141" s="6" t="s">
        <v>25</v>
      </c>
      <c r="E141" s="3">
        <v>729.45168631838499</v>
      </c>
      <c r="F141" s="3">
        <v>1168.3379724972699</v>
      </c>
      <c r="G141" s="3">
        <v>1169.3210112602201</v>
      </c>
      <c r="H141" s="3">
        <v>8.4139930918228301E-2</v>
      </c>
      <c r="I141" s="3">
        <v>60.301365147552801</v>
      </c>
      <c r="J141" s="2" t="s">
        <v>373</v>
      </c>
      <c r="K141" s="2" t="s">
        <v>116</v>
      </c>
      <c r="L141" s="3">
        <v>1979.17</v>
      </c>
      <c r="M141" s="2" t="s">
        <v>374</v>
      </c>
      <c r="N141" s="2" t="s">
        <v>74</v>
      </c>
      <c r="O141" s="3">
        <v>687.5</v>
      </c>
      <c r="P141" s="2" t="s">
        <v>42</v>
      </c>
    </row>
    <row r="142" spans="1:16" x14ac:dyDescent="0.25">
      <c r="A142" s="2" t="s">
        <v>7</v>
      </c>
      <c r="B142" s="2" t="s">
        <v>365</v>
      </c>
      <c r="C142" s="2" t="s">
        <v>365</v>
      </c>
      <c r="D142" s="6" t="s">
        <v>25</v>
      </c>
      <c r="E142" s="3">
        <v>757.85748328601801</v>
      </c>
      <c r="F142" s="3">
        <v>1169.3210112602201</v>
      </c>
      <c r="G142" s="3">
        <v>1278.7595198008501</v>
      </c>
      <c r="H142" s="3">
        <v>9.3591500953778208</v>
      </c>
      <c r="I142" s="3">
        <v>68.733508344634402</v>
      </c>
      <c r="J142" s="2" t="s">
        <v>375</v>
      </c>
      <c r="K142" s="2" t="s">
        <v>116</v>
      </c>
      <c r="L142" s="3">
        <v>2064.13</v>
      </c>
      <c r="M142" s="2" t="s">
        <v>376</v>
      </c>
      <c r="N142" s="2" t="s">
        <v>182</v>
      </c>
      <c r="O142" s="3">
        <v>718.23</v>
      </c>
      <c r="P142" s="2" t="s">
        <v>46</v>
      </c>
    </row>
    <row r="143" spans="1:16" x14ac:dyDescent="0.25">
      <c r="A143" s="2" t="s">
        <v>8</v>
      </c>
      <c r="B143" s="2" t="s">
        <v>365</v>
      </c>
      <c r="C143" s="2" t="s">
        <v>365</v>
      </c>
      <c r="D143" s="6" t="s">
        <v>25</v>
      </c>
      <c r="E143" s="3">
        <v>797.60928651013103</v>
      </c>
      <c r="F143" s="3">
        <v>1278.7595198008501</v>
      </c>
      <c r="G143" s="3">
        <v>1239.609660498</v>
      </c>
      <c r="H143" s="3">
        <v>-3.0615497829451801</v>
      </c>
      <c r="I143" s="3">
        <v>55.415650427266002</v>
      </c>
      <c r="J143" s="2" t="s">
        <v>377</v>
      </c>
      <c r="K143" s="2" t="s">
        <v>116</v>
      </c>
      <c r="L143" s="3">
        <v>2000</v>
      </c>
      <c r="M143" s="2" t="s">
        <v>378</v>
      </c>
      <c r="N143" s="2" t="s">
        <v>74</v>
      </c>
      <c r="O143" s="3">
        <v>858.67</v>
      </c>
      <c r="P143" s="2" t="s">
        <v>49</v>
      </c>
    </row>
    <row r="144" spans="1:16" x14ac:dyDescent="0.25">
      <c r="A144" s="2" t="s">
        <v>3</v>
      </c>
      <c r="B144" s="2" t="s">
        <v>379</v>
      </c>
      <c r="C144" s="2" t="s">
        <v>379</v>
      </c>
      <c r="D144" s="8" t="s">
        <v>102</v>
      </c>
      <c r="E144" s="3">
        <v>559.18168834245296</v>
      </c>
      <c r="F144" s="3">
        <v>1080.9149733669799</v>
      </c>
      <c r="G144" s="3">
        <v>1163.2443098946301</v>
      </c>
      <c r="H144" s="3">
        <v>7.6166339218340102</v>
      </c>
      <c r="I144" s="3">
        <v>108.02618078262999</v>
      </c>
      <c r="J144" s="2" t="s">
        <v>380</v>
      </c>
      <c r="K144" s="2" t="s">
        <v>34</v>
      </c>
      <c r="L144" s="3">
        <v>1700</v>
      </c>
      <c r="M144" s="2" t="s">
        <v>381</v>
      </c>
      <c r="N144" s="2" t="s">
        <v>67</v>
      </c>
      <c r="O144" s="3">
        <v>828.82</v>
      </c>
      <c r="P144" s="2" t="s">
        <v>30</v>
      </c>
    </row>
    <row r="145" spans="1:16" x14ac:dyDescent="0.25">
      <c r="A145" s="2" t="s">
        <v>4</v>
      </c>
      <c r="B145" s="2" t="s">
        <v>379</v>
      </c>
      <c r="C145" s="2" t="s">
        <v>379</v>
      </c>
      <c r="D145" s="8" t="s">
        <v>102</v>
      </c>
      <c r="E145" s="3">
        <v>589.75422114465005</v>
      </c>
      <c r="F145" s="3">
        <v>1163.2443098946301</v>
      </c>
      <c r="G145" s="3">
        <v>1160.21514057117</v>
      </c>
      <c r="H145" s="3">
        <v>-0.26040697536166602</v>
      </c>
      <c r="I145" s="3">
        <v>96.728586074265905</v>
      </c>
      <c r="J145" s="2" t="s">
        <v>380</v>
      </c>
      <c r="K145" s="2" t="s">
        <v>34</v>
      </c>
      <c r="L145" s="3">
        <v>1700</v>
      </c>
      <c r="M145" s="2" t="s">
        <v>382</v>
      </c>
      <c r="N145" s="2" t="s">
        <v>74</v>
      </c>
      <c r="O145" s="3">
        <v>800.27</v>
      </c>
      <c r="P145" s="2" t="s">
        <v>35</v>
      </c>
    </row>
    <row r="146" spans="1:16" x14ac:dyDescent="0.25">
      <c r="A146" s="2" t="s">
        <v>3</v>
      </c>
      <c r="B146" s="2" t="s">
        <v>383</v>
      </c>
      <c r="C146" s="2" t="s">
        <v>383</v>
      </c>
      <c r="D146" s="8" t="s">
        <v>102</v>
      </c>
      <c r="E146" s="3">
        <v>2131.0117283917998</v>
      </c>
      <c r="F146" s="3">
        <v>4054.3239847898499</v>
      </c>
      <c r="G146" s="3">
        <v>4136.4786973755999</v>
      </c>
      <c r="H146" s="3">
        <v>2.0263479902927801</v>
      </c>
      <c r="I146" s="3">
        <v>94.108678158109498</v>
      </c>
      <c r="J146" s="2" t="s">
        <v>384</v>
      </c>
      <c r="K146" s="2" t="s">
        <v>107</v>
      </c>
      <c r="L146" s="3">
        <v>5696.18</v>
      </c>
      <c r="M146" s="2" t="s">
        <v>385</v>
      </c>
      <c r="N146" s="2" t="s">
        <v>118</v>
      </c>
      <c r="O146" s="3">
        <v>2628.08</v>
      </c>
      <c r="P146" s="2" t="s">
        <v>30</v>
      </c>
    </row>
    <row r="147" spans="1:16" x14ac:dyDescent="0.25">
      <c r="A147" s="2" t="s">
        <v>4</v>
      </c>
      <c r="B147" s="2" t="s">
        <v>383</v>
      </c>
      <c r="C147" s="2" t="s">
        <v>383</v>
      </c>
      <c r="D147" s="8" t="s">
        <v>102</v>
      </c>
      <c r="E147" s="3">
        <v>2214.5780727526799</v>
      </c>
      <c r="F147" s="3">
        <v>4136.4786973755999</v>
      </c>
      <c r="G147" s="3">
        <v>4166.67611915425</v>
      </c>
      <c r="H147" s="3">
        <v>0.73002725235381405</v>
      </c>
      <c r="I147" s="3">
        <v>88.147628228574803</v>
      </c>
      <c r="J147" s="2" t="s">
        <v>386</v>
      </c>
      <c r="K147" s="2" t="s">
        <v>263</v>
      </c>
      <c r="L147" s="3">
        <v>5868.57</v>
      </c>
      <c r="M147" s="2" t="s">
        <v>387</v>
      </c>
      <c r="N147" s="2" t="s">
        <v>118</v>
      </c>
      <c r="O147" s="3">
        <v>2685.9</v>
      </c>
      <c r="P147" s="2" t="s">
        <v>35</v>
      </c>
    </row>
    <row r="148" spans="1:16" x14ac:dyDescent="0.25">
      <c r="A148" s="2" t="s">
        <v>3</v>
      </c>
      <c r="B148" s="2" t="s">
        <v>388</v>
      </c>
      <c r="C148" s="2" t="s">
        <v>388</v>
      </c>
      <c r="D148" s="8" t="s">
        <v>102</v>
      </c>
      <c r="E148" s="3">
        <v>2982.6881365000399</v>
      </c>
      <c r="F148" s="3">
        <v>5139.9121409230502</v>
      </c>
      <c r="G148" s="3">
        <v>5345.9909023037198</v>
      </c>
      <c r="H148" s="3">
        <v>4.0093829569556698</v>
      </c>
      <c r="I148" s="3">
        <v>79.233988189487107</v>
      </c>
      <c r="J148" s="2" t="s">
        <v>389</v>
      </c>
      <c r="K148" s="2" t="s">
        <v>76</v>
      </c>
      <c r="L148" s="3">
        <v>10329.43</v>
      </c>
      <c r="M148" s="2" t="s">
        <v>390</v>
      </c>
      <c r="N148" s="2" t="s">
        <v>173</v>
      </c>
      <c r="O148" s="3">
        <v>3145.69</v>
      </c>
      <c r="P148" s="2" t="s">
        <v>30</v>
      </c>
    </row>
    <row r="149" spans="1:16" x14ac:dyDescent="0.25">
      <c r="A149" s="2" t="s">
        <v>4</v>
      </c>
      <c r="B149" s="2" t="s">
        <v>388</v>
      </c>
      <c r="C149" s="2" t="s">
        <v>388</v>
      </c>
      <c r="D149" s="8" t="s">
        <v>102</v>
      </c>
      <c r="E149" s="3">
        <v>3137.5041050310001</v>
      </c>
      <c r="F149" s="3">
        <v>5345.9909023037198</v>
      </c>
      <c r="G149" s="3">
        <v>5632.3370938083499</v>
      </c>
      <c r="H149" s="3">
        <v>5.3562790647705603</v>
      </c>
      <c r="I149" s="3">
        <v>79.516485246246603</v>
      </c>
      <c r="J149" s="2" t="s">
        <v>391</v>
      </c>
      <c r="K149" s="2" t="s">
        <v>76</v>
      </c>
      <c r="L149" s="3">
        <v>11717.68</v>
      </c>
      <c r="M149" s="2" t="s">
        <v>392</v>
      </c>
      <c r="N149" s="2" t="s">
        <v>59</v>
      </c>
      <c r="O149" s="3">
        <v>3199.89</v>
      </c>
      <c r="P149" s="2" t="s">
        <v>35</v>
      </c>
    </row>
    <row r="150" spans="1:16" x14ac:dyDescent="0.25">
      <c r="A150" s="2" t="s">
        <v>3</v>
      </c>
      <c r="B150" s="2" t="s">
        <v>393</v>
      </c>
      <c r="C150" s="2" t="s">
        <v>394</v>
      </c>
      <c r="D150" s="6" t="s">
        <v>25</v>
      </c>
      <c r="E150" s="3">
        <v>683.77839588224299</v>
      </c>
      <c r="F150" s="3">
        <v>1251.5236601972099</v>
      </c>
      <c r="G150" s="3">
        <v>1878.0015100273999</v>
      </c>
      <c r="H150" s="3">
        <v>50.057211841402399</v>
      </c>
      <c r="I150" s="3">
        <v>174.65060629830501</v>
      </c>
      <c r="J150" s="2" t="s">
        <v>395</v>
      </c>
      <c r="K150" s="2" t="s">
        <v>80</v>
      </c>
      <c r="L150" s="3">
        <v>3025</v>
      </c>
      <c r="M150" s="2" t="s">
        <v>396</v>
      </c>
      <c r="N150" s="2" t="s">
        <v>74</v>
      </c>
      <c r="O150" s="3">
        <v>855.26</v>
      </c>
      <c r="P150" s="2" t="s">
        <v>30</v>
      </c>
    </row>
    <row r="151" spans="1:16" x14ac:dyDescent="0.25">
      <c r="A151" s="2" t="s">
        <v>4</v>
      </c>
      <c r="B151" s="2" t="s">
        <v>393</v>
      </c>
      <c r="C151" s="2" t="s">
        <v>394</v>
      </c>
      <c r="D151" s="6" t="s">
        <v>25</v>
      </c>
      <c r="E151" s="3">
        <v>971.85986586491094</v>
      </c>
      <c r="F151" s="3">
        <v>1878.0015100273999</v>
      </c>
      <c r="G151" s="3">
        <v>2057.8108721538001</v>
      </c>
      <c r="H151" s="3">
        <v>9.5745057267699796</v>
      </c>
      <c r="I151" s="3">
        <v>111.739464137913</v>
      </c>
      <c r="J151" s="2" t="s">
        <v>397</v>
      </c>
      <c r="K151" s="2" t="s">
        <v>80</v>
      </c>
      <c r="L151" s="3">
        <v>3286.92</v>
      </c>
      <c r="M151" s="2" t="s">
        <v>398</v>
      </c>
      <c r="N151" s="2" t="s">
        <v>29</v>
      </c>
      <c r="O151" s="3">
        <v>1000</v>
      </c>
      <c r="P151" s="2" t="s">
        <v>35</v>
      </c>
    </row>
    <row r="152" spans="1:16" x14ac:dyDescent="0.25">
      <c r="A152" s="2" t="s">
        <v>5</v>
      </c>
      <c r="B152" s="2" t="s">
        <v>393</v>
      </c>
      <c r="C152" s="2" t="s">
        <v>399</v>
      </c>
      <c r="D152" s="6" t="s">
        <v>25</v>
      </c>
      <c r="E152" s="3">
        <v>881.197653226022</v>
      </c>
      <c r="F152" s="3">
        <v>2057.8108721538001</v>
      </c>
      <c r="G152" s="3">
        <v>1367.6215629373401</v>
      </c>
      <c r="H152" s="3">
        <v>-33.539977777164601</v>
      </c>
      <c r="I152" s="3">
        <v>55.200318331596101</v>
      </c>
      <c r="J152" s="2" t="s">
        <v>400</v>
      </c>
      <c r="K152" s="2" t="s">
        <v>401</v>
      </c>
      <c r="L152" s="3">
        <v>2500</v>
      </c>
      <c r="M152" s="2" t="s">
        <v>402</v>
      </c>
      <c r="N152" s="2" t="s">
        <v>34</v>
      </c>
      <c r="O152" s="3">
        <v>520</v>
      </c>
      <c r="P152" s="2" t="s">
        <v>40</v>
      </c>
    </row>
    <row r="153" spans="1:16" x14ac:dyDescent="0.25">
      <c r="A153" s="2" t="s">
        <v>6</v>
      </c>
      <c r="B153" s="2" t="s">
        <v>393</v>
      </c>
      <c r="C153" s="2" t="s">
        <v>399</v>
      </c>
      <c r="D153" s="6" t="s">
        <v>25</v>
      </c>
      <c r="E153" s="3">
        <v>915.60983823951597</v>
      </c>
      <c r="F153" s="3">
        <v>1367.6215629373401</v>
      </c>
      <c r="G153" s="3">
        <v>1372.0419025966901</v>
      </c>
      <c r="H153" s="3">
        <v>0.32321365640453398</v>
      </c>
      <c r="I153" s="3">
        <v>49.850061160851297</v>
      </c>
      <c r="J153" s="2" t="s">
        <v>403</v>
      </c>
      <c r="K153" s="2" t="s">
        <v>401</v>
      </c>
      <c r="L153" s="3">
        <v>2483.33</v>
      </c>
      <c r="M153" s="2" t="s">
        <v>404</v>
      </c>
      <c r="N153" s="2" t="s">
        <v>34</v>
      </c>
      <c r="O153" s="3">
        <v>560</v>
      </c>
      <c r="P153" s="2" t="s">
        <v>42</v>
      </c>
    </row>
    <row r="154" spans="1:16" x14ac:dyDescent="0.25">
      <c r="A154" s="2" t="s">
        <v>7</v>
      </c>
      <c r="B154" s="2" t="s">
        <v>393</v>
      </c>
      <c r="C154" s="2" t="s">
        <v>399</v>
      </c>
      <c r="D154" s="6" t="s">
        <v>25</v>
      </c>
      <c r="E154" s="3">
        <v>938.86671936884602</v>
      </c>
      <c r="F154" s="3">
        <v>1372.0419025966901</v>
      </c>
      <c r="G154" s="3">
        <v>1434.8498267248599</v>
      </c>
      <c r="H154" s="3">
        <v>4.5776972269802298</v>
      </c>
      <c r="I154" s="3">
        <v>52.827850548312298</v>
      </c>
      <c r="J154" s="2" t="s">
        <v>405</v>
      </c>
      <c r="K154" s="2" t="s">
        <v>76</v>
      </c>
      <c r="L154" s="3">
        <v>2841.43</v>
      </c>
      <c r="M154" s="2" t="s">
        <v>406</v>
      </c>
      <c r="N154" s="2" t="s">
        <v>34</v>
      </c>
      <c r="O154" s="3">
        <v>600</v>
      </c>
      <c r="P154" s="2" t="s">
        <v>46</v>
      </c>
    </row>
    <row r="155" spans="1:16" x14ac:dyDescent="0.25">
      <c r="A155" s="2" t="s">
        <v>8</v>
      </c>
      <c r="B155" s="2" t="s">
        <v>393</v>
      </c>
      <c r="C155" s="2" t="s">
        <v>399</v>
      </c>
      <c r="D155" s="6" t="s">
        <v>25</v>
      </c>
      <c r="E155" s="3">
        <v>1018.83318551401</v>
      </c>
      <c r="F155" s="3">
        <v>1434.8498267248599</v>
      </c>
      <c r="G155" s="3">
        <v>1503.5644918098701</v>
      </c>
      <c r="H155" s="3">
        <v>4.7889795716014998</v>
      </c>
      <c r="I155" s="3">
        <v>47.577102236939602</v>
      </c>
      <c r="J155" s="2" t="s">
        <v>407</v>
      </c>
      <c r="K155" s="2" t="s">
        <v>76</v>
      </c>
      <c r="L155" s="3">
        <v>2840.42</v>
      </c>
      <c r="M155" s="2" t="s">
        <v>408</v>
      </c>
      <c r="N155" s="2" t="s">
        <v>59</v>
      </c>
      <c r="O155" s="3">
        <v>850</v>
      </c>
      <c r="P155" s="2" t="s">
        <v>49</v>
      </c>
    </row>
    <row r="156" spans="1:16" x14ac:dyDescent="0.25">
      <c r="A156" s="2" t="s">
        <v>3</v>
      </c>
      <c r="B156" s="2" t="s">
        <v>409</v>
      </c>
      <c r="C156" s="2" t="s">
        <v>410</v>
      </c>
      <c r="D156" s="6" t="s">
        <v>25</v>
      </c>
      <c r="E156" s="3">
        <v>1370.15959989975</v>
      </c>
      <c r="F156" s="3">
        <v>2146.9874710394402</v>
      </c>
      <c r="G156" s="3">
        <v>2466.7871367873599</v>
      </c>
      <c r="H156" s="3">
        <v>14.8952739623161</v>
      </c>
      <c r="I156" s="3">
        <v>80.036481660082202</v>
      </c>
      <c r="J156" s="2" t="s">
        <v>411</v>
      </c>
      <c r="K156" s="2" t="s">
        <v>34</v>
      </c>
      <c r="L156" s="3">
        <v>3500</v>
      </c>
      <c r="M156" s="2" t="s">
        <v>412</v>
      </c>
      <c r="N156" s="2" t="s">
        <v>91</v>
      </c>
      <c r="O156" s="3">
        <v>1442.83</v>
      </c>
      <c r="P156" s="2" t="s">
        <v>30</v>
      </c>
    </row>
    <row r="157" spans="1:16" x14ac:dyDescent="0.25">
      <c r="A157" s="2" t="s">
        <v>4</v>
      </c>
      <c r="B157" s="2" t="s">
        <v>409</v>
      </c>
      <c r="C157" s="2" t="s">
        <v>410</v>
      </c>
      <c r="D157" s="6" t="s">
        <v>25</v>
      </c>
      <c r="E157" s="3">
        <v>1425.3236823232501</v>
      </c>
      <c r="F157" s="3">
        <v>2466.7871367873599</v>
      </c>
      <c r="G157" s="3">
        <v>2582.3479986950401</v>
      </c>
      <c r="H157" s="3">
        <v>4.68467101130509</v>
      </c>
      <c r="I157" s="3">
        <v>81.176250049101995</v>
      </c>
      <c r="J157" s="2" t="s">
        <v>413</v>
      </c>
      <c r="K157" s="2" t="s">
        <v>39</v>
      </c>
      <c r="L157" s="3">
        <v>3350</v>
      </c>
      <c r="M157" s="2" t="s">
        <v>414</v>
      </c>
      <c r="N157" s="2" t="s">
        <v>59</v>
      </c>
      <c r="O157" s="3">
        <v>1172.81</v>
      </c>
      <c r="P157" s="2" t="s">
        <v>35</v>
      </c>
    </row>
    <row r="158" spans="1:16" x14ac:dyDescent="0.25">
      <c r="A158" s="2" t="s">
        <v>5</v>
      </c>
      <c r="B158" s="2" t="s">
        <v>409</v>
      </c>
      <c r="C158" s="2" t="s">
        <v>409</v>
      </c>
      <c r="D158" s="6" t="s">
        <v>25</v>
      </c>
      <c r="E158" s="3">
        <v>1456.72275395834</v>
      </c>
      <c r="F158" s="3">
        <v>2582.3479986950401</v>
      </c>
      <c r="G158" s="3">
        <v>2329.5428046950301</v>
      </c>
      <c r="H158" s="3">
        <v>-9.7897415115142703</v>
      </c>
      <c r="I158" s="3">
        <v>59.916689594158299</v>
      </c>
      <c r="J158" s="2" t="s">
        <v>415</v>
      </c>
      <c r="K158" s="2" t="s">
        <v>133</v>
      </c>
      <c r="L158" s="3">
        <v>3000</v>
      </c>
      <c r="M158" s="2" t="s">
        <v>416</v>
      </c>
      <c r="N158" s="2" t="s">
        <v>34</v>
      </c>
      <c r="O158" s="3">
        <v>1363.33</v>
      </c>
      <c r="P158" s="2" t="s">
        <v>40</v>
      </c>
    </row>
    <row r="159" spans="1:16" x14ac:dyDescent="0.25">
      <c r="A159" s="2" t="s">
        <v>6</v>
      </c>
      <c r="B159" s="2" t="s">
        <v>409</v>
      </c>
      <c r="C159" s="2" t="s">
        <v>409</v>
      </c>
      <c r="D159" s="6" t="s">
        <v>25</v>
      </c>
      <c r="E159" s="3">
        <v>1561.45940476185</v>
      </c>
      <c r="F159" s="3">
        <v>2329.5428046950301</v>
      </c>
      <c r="G159" s="3">
        <v>2384.1511140866301</v>
      </c>
      <c r="H159" s="3">
        <v>2.3441642403621898</v>
      </c>
      <c r="I159" s="3">
        <v>52.687358173762</v>
      </c>
      <c r="J159" s="2" t="s">
        <v>415</v>
      </c>
      <c r="K159" s="2" t="s">
        <v>133</v>
      </c>
      <c r="L159" s="3">
        <v>3000</v>
      </c>
      <c r="M159" s="2" t="s">
        <v>343</v>
      </c>
      <c r="N159" s="2" t="s">
        <v>39</v>
      </c>
      <c r="O159" s="3">
        <v>1500</v>
      </c>
      <c r="P159" s="2" t="s">
        <v>42</v>
      </c>
    </row>
    <row r="160" spans="1:16" x14ac:dyDescent="0.25">
      <c r="A160" s="2" t="s">
        <v>7</v>
      </c>
      <c r="B160" s="2" t="s">
        <v>409</v>
      </c>
      <c r="C160" s="2" t="s">
        <v>409</v>
      </c>
      <c r="D160" s="6" t="s">
        <v>25</v>
      </c>
      <c r="E160" s="3">
        <v>1565.9009523673201</v>
      </c>
      <c r="F160" s="3">
        <v>2384.1511140866301</v>
      </c>
      <c r="G160" s="3">
        <v>2511.7729143043798</v>
      </c>
      <c r="H160" s="3">
        <v>5.35292412732176</v>
      </c>
      <c r="I160" s="3">
        <v>60.404328926877703</v>
      </c>
      <c r="J160" s="2" t="s">
        <v>417</v>
      </c>
      <c r="K160" s="2" t="s">
        <v>152</v>
      </c>
      <c r="L160" s="3">
        <v>3128.96</v>
      </c>
      <c r="M160" s="2" t="s">
        <v>418</v>
      </c>
      <c r="N160" s="2" t="s">
        <v>34</v>
      </c>
      <c r="O160" s="3">
        <v>1730</v>
      </c>
      <c r="P160" s="2" t="s">
        <v>46</v>
      </c>
    </row>
    <row r="161" spans="1:16" x14ac:dyDescent="0.25">
      <c r="A161" s="2" t="s">
        <v>8</v>
      </c>
      <c r="B161" s="2" t="s">
        <v>409</v>
      </c>
      <c r="C161" s="2" t="s">
        <v>409</v>
      </c>
      <c r="D161" s="6" t="s">
        <v>25</v>
      </c>
      <c r="E161" s="3">
        <v>1634.0540287219001</v>
      </c>
      <c r="F161" s="3">
        <v>2511.7729143043798</v>
      </c>
      <c r="G161" s="3">
        <v>2516.3571664481101</v>
      </c>
      <c r="H161" s="3">
        <v>0.18251061302656399</v>
      </c>
      <c r="I161" s="3">
        <v>53.994734703865099</v>
      </c>
      <c r="J161" s="2" t="s">
        <v>419</v>
      </c>
      <c r="K161" s="2" t="s">
        <v>37</v>
      </c>
      <c r="L161" s="3">
        <v>3216.49</v>
      </c>
      <c r="M161" s="2" t="s">
        <v>420</v>
      </c>
      <c r="N161" s="2" t="s">
        <v>34</v>
      </c>
      <c r="O161" s="3">
        <v>1795.83</v>
      </c>
      <c r="P161" s="2" t="s">
        <v>49</v>
      </c>
    </row>
    <row r="162" spans="1:16" x14ac:dyDescent="0.25">
      <c r="A162" s="2" t="s">
        <v>3</v>
      </c>
      <c r="B162" s="2" t="s">
        <v>421</v>
      </c>
      <c r="C162" s="2" t="s">
        <v>422</v>
      </c>
      <c r="D162" s="6" t="s">
        <v>25</v>
      </c>
      <c r="E162" s="3">
        <v>693.65407366574198</v>
      </c>
      <c r="F162" s="3">
        <v>1507.2059152730801</v>
      </c>
      <c r="G162" s="3">
        <v>1540.046406979</v>
      </c>
      <c r="H162" s="3">
        <v>2.1788988069340798</v>
      </c>
      <c r="I162" s="3">
        <v>122.0193703816</v>
      </c>
      <c r="J162" s="2" t="s">
        <v>423</v>
      </c>
      <c r="K162" s="2" t="s">
        <v>424</v>
      </c>
      <c r="L162" s="3">
        <v>2257.75</v>
      </c>
      <c r="M162" s="2" t="s">
        <v>425</v>
      </c>
      <c r="N162" s="2" t="s">
        <v>29</v>
      </c>
      <c r="O162" s="3">
        <v>913.89</v>
      </c>
      <c r="P162" s="2" t="s">
        <v>30</v>
      </c>
    </row>
    <row r="163" spans="1:16" x14ac:dyDescent="0.25">
      <c r="A163" s="2" t="s">
        <v>4</v>
      </c>
      <c r="B163" s="2" t="s">
        <v>421</v>
      </c>
      <c r="C163" s="2" t="s">
        <v>422</v>
      </c>
      <c r="D163" s="6" t="s">
        <v>25</v>
      </c>
      <c r="E163" s="3">
        <v>757.99098278706902</v>
      </c>
      <c r="F163" s="3">
        <v>1540.046406979</v>
      </c>
      <c r="G163" s="3">
        <v>1533.6809681028701</v>
      </c>
      <c r="H163" s="3">
        <v>-0.41332773137807299</v>
      </c>
      <c r="I163" s="3">
        <v>102.33498853293101</v>
      </c>
      <c r="J163" s="2" t="s">
        <v>426</v>
      </c>
      <c r="K163" s="2" t="s">
        <v>107</v>
      </c>
      <c r="L163" s="3">
        <v>2166.2600000000002</v>
      </c>
      <c r="M163" s="2" t="s">
        <v>427</v>
      </c>
      <c r="N163" s="2" t="s">
        <v>29</v>
      </c>
      <c r="O163" s="3">
        <v>916.67</v>
      </c>
      <c r="P163" s="2" t="s">
        <v>35</v>
      </c>
    </row>
    <row r="164" spans="1:16" x14ac:dyDescent="0.25">
      <c r="A164" s="2" t="s">
        <v>5</v>
      </c>
      <c r="B164" s="2" t="s">
        <v>421</v>
      </c>
      <c r="C164" s="2" t="s">
        <v>421</v>
      </c>
      <c r="D164" s="6" t="s">
        <v>25</v>
      </c>
      <c r="E164" s="3">
        <v>810.666978789479</v>
      </c>
      <c r="F164" s="3">
        <v>1533.6809681028701</v>
      </c>
      <c r="G164" s="3">
        <v>1876.0258662337501</v>
      </c>
      <c r="H164" s="3">
        <v>22.321780425713399</v>
      </c>
      <c r="I164" s="3">
        <v>131.41757531990501</v>
      </c>
      <c r="J164" s="2" t="s">
        <v>428</v>
      </c>
      <c r="K164" s="2" t="s">
        <v>107</v>
      </c>
      <c r="L164" s="3">
        <v>2202.7800000000002</v>
      </c>
      <c r="M164" s="2" t="s">
        <v>429</v>
      </c>
      <c r="N164" s="2" t="s">
        <v>430</v>
      </c>
      <c r="O164" s="3">
        <v>1584.06</v>
      </c>
      <c r="P164" s="2" t="s">
        <v>40</v>
      </c>
    </row>
    <row r="165" spans="1:16" x14ac:dyDescent="0.25">
      <c r="A165" s="2" t="s">
        <v>6</v>
      </c>
      <c r="B165" s="2" t="s">
        <v>421</v>
      </c>
      <c r="C165" s="2" t="s">
        <v>421</v>
      </c>
      <c r="D165" s="6" t="s">
        <v>25</v>
      </c>
      <c r="E165" s="3">
        <v>846.50059620485001</v>
      </c>
      <c r="F165" s="3">
        <v>1876.0258662337501</v>
      </c>
      <c r="G165" s="3">
        <v>1914.4990136459401</v>
      </c>
      <c r="H165" s="3">
        <v>2.0507791552699701</v>
      </c>
      <c r="I165" s="3">
        <v>126.16629240774201</v>
      </c>
      <c r="J165" s="2" t="s">
        <v>431</v>
      </c>
      <c r="K165" s="2" t="s">
        <v>91</v>
      </c>
      <c r="L165" s="3">
        <v>2400</v>
      </c>
      <c r="M165" s="2" t="s">
        <v>432</v>
      </c>
      <c r="N165" s="2" t="s">
        <v>27</v>
      </c>
      <c r="O165" s="3">
        <v>1476.25</v>
      </c>
      <c r="P165" s="2" t="s">
        <v>42</v>
      </c>
    </row>
    <row r="166" spans="1:16" x14ac:dyDescent="0.25">
      <c r="A166" s="2" t="s">
        <v>7</v>
      </c>
      <c r="B166" s="2" t="s">
        <v>421</v>
      </c>
      <c r="C166" s="2" t="s">
        <v>421</v>
      </c>
      <c r="D166" s="6" t="s">
        <v>25</v>
      </c>
      <c r="E166" s="3">
        <v>947.34904446451196</v>
      </c>
      <c r="F166" s="3">
        <v>1914.4990136459401</v>
      </c>
      <c r="G166" s="3">
        <v>2002.5841717773301</v>
      </c>
      <c r="H166" s="3">
        <v>4.60095082335084</v>
      </c>
      <c r="I166" s="3">
        <v>111.38820833553299</v>
      </c>
      <c r="J166" s="2" t="s">
        <v>433</v>
      </c>
      <c r="K166" s="2" t="s">
        <v>173</v>
      </c>
      <c r="L166" s="3">
        <v>2696.63</v>
      </c>
      <c r="M166" s="2" t="s">
        <v>434</v>
      </c>
      <c r="N166" s="2" t="s">
        <v>27</v>
      </c>
      <c r="O166" s="3">
        <v>1538.75</v>
      </c>
      <c r="P166" s="2" t="s">
        <v>46</v>
      </c>
    </row>
    <row r="167" spans="1:16" x14ac:dyDescent="0.25">
      <c r="A167" s="2" t="s">
        <v>8</v>
      </c>
      <c r="B167" s="2" t="s">
        <v>421</v>
      </c>
      <c r="C167" s="2" t="s">
        <v>421</v>
      </c>
      <c r="D167" s="6" t="s">
        <v>25</v>
      </c>
      <c r="E167" s="3">
        <v>1009.05227176578</v>
      </c>
      <c r="F167" s="3">
        <v>2002.5841717773301</v>
      </c>
      <c r="G167" s="3">
        <v>2057.3966196227698</v>
      </c>
      <c r="H167" s="3">
        <v>2.7370858422791202</v>
      </c>
      <c r="I167" s="3">
        <v>103.89395843908601</v>
      </c>
      <c r="J167" s="2" t="s">
        <v>433</v>
      </c>
      <c r="K167" s="2" t="s">
        <v>173</v>
      </c>
      <c r="L167" s="3">
        <v>2696.63</v>
      </c>
      <c r="M167" s="2" t="s">
        <v>435</v>
      </c>
      <c r="N167" s="2" t="s">
        <v>182</v>
      </c>
      <c r="O167" s="3">
        <v>1650.58</v>
      </c>
      <c r="P167" s="2" t="s">
        <v>49</v>
      </c>
    </row>
    <row r="168" spans="1:16" x14ac:dyDescent="0.25">
      <c r="A168" s="2" t="s">
        <v>3</v>
      </c>
      <c r="B168" s="2" t="s">
        <v>436</v>
      </c>
      <c r="C168" s="2" t="s">
        <v>437</v>
      </c>
      <c r="D168" s="6" t="s">
        <v>25</v>
      </c>
      <c r="E168" s="3">
        <v>694.69086679389602</v>
      </c>
      <c r="F168" s="3">
        <v>1539.65639977825</v>
      </c>
      <c r="G168" s="3">
        <v>1566.20426620695</v>
      </c>
      <c r="H168" s="3">
        <v>1.7242721449098899</v>
      </c>
      <c r="I168" s="3">
        <v>125.453412599941</v>
      </c>
      <c r="J168" s="2" t="s">
        <v>438</v>
      </c>
      <c r="K168" s="2" t="s">
        <v>194</v>
      </c>
      <c r="L168" s="3">
        <v>2300</v>
      </c>
      <c r="M168" s="2" t="s">
        <v>439</v>
      </c>
      <c r="N168" s="2" t="s">
        <v>118</v>
      </c>
      <c r="O168" s="3">
        <v>899.47</v>
      </c>
      <c r="P168" s="2" t="s">
        <v>30</v>
      </c>
    </row>
    <row r="169" spans="1:16" x14ac:dyDescent="0.25">
      <c r="A169" s="2" t="s">
        <v>4</v>
      </c>
      <c r="B169" s="2" t="s">
        <v>436</v>
      </c>
      <c r="C169" s="2" t="s">
        <v>437</v>
      </c>
      <c r="D169" s="6" t="s">
        <v>25</v>
      </c>
      <c r="E169" s="3">
        <v>746.03538560342895</v>
      </c>
      <c r="F169" s="3">
        <v>1566.20426620695</v>
      </c>
      <c r="G169" s="3">
        <v>1550.1513842884699</v>
      </c>
      <c r="H169" s="3">
        <v>-1.0249545518958101</v>
      </c>
      <c r="I169" s="3">
        <v>107.78523568753199</v>
      </c>
      <c r="J169" s="2" t="s">
        <v>440</v>
      </c>
      <c r="K169" s="2" t="s">
        <v>194</v>
      </c>
      <c r="L169" s="3">
        <v>2310</v>
      </c>
      <c r="M169" s="2" t="s">
        <v>441</v>
      </c>
      <c r="N169" s="2" t="s">
        <v>74</v>
      </c>
      <c r="O169" s="3">
        <v>901</v>
      </c>
      <c r="P169" s="2" t="s">
        <v>35</v>
      </c>
    </row>
    <row r="170" spans="1:16" x14ac:dyDescent="0.25">
      <c r="A170" s="2" t="s">
        <v>5</v>
      </c>
      <c r="B170" s="2" t="s">
        <v>436</v>
      </c>
      <c r="C170" s="2" t="s">
        <v>436</v>
      </c>
      <c r="D170" s="6" t="s">
        <v>25</v>
      </c>
      <c r="E170" s="3">
        <v>811.94516660819102</v>
      </c>
      <c r="F170" s="3">
        <v>1550.1513842884699</v>
      </c>
      <c r="G170" s="3">
        <v>2119.0689292685602</v>
      </c>
      <c r="H170" s="3">
        <v>36.700773275844803</v>
      </c>
      <c r="I170" s="3">
        <v>160.98670408012001</v>
      </c>
      <c r="J170" s="2" t="s">
        <v>442</v>
      </c>
      <c r="K170" s="2" t="s">
        <v>173</v>
      </c>
      <c r="L170" s="3">
        <v>2821.97</v>
      </c>
      <c r="M170" s="2" t="s">
        <v>443</v>
      </c>
      <c r="N170" s="2" t="s">
        <v>263</v>
      </c>
      <c r="O170" s="3">
        <v>1564.71</v>
      </c>
      <c r="P170" s="2" t="s">
        <v>40</v>
      </c>
    </row>
    <row r="171" spans="1:16" x14ac:dyDescent="0.25">
      <c r="A171" s="2" t="s">
        <v>6</v>
      </c>
      <c r="B171" s="2" t="s">
        <v>436</v>
      </c>
      <c r="C171" s="2" t="s">
        <v>436</v>
      </c>
      <c r="D171" s="6" t="s">
        <v>25</v>
      </c>
      <c r="E171" s="3">
        <v>858.99191316903102</v>
      </c>
      <c r="F171" s="3">
        <v>2119.0689292685602</v>
      </c>
      <c r="G171" s="3">
        <v>2127.6712684252502</v>
      </c>
      <c r="H171" s="3">
        <v>0.40594900136923401</v>
      </c>
      <c r="I171" s="3">
        <v>147.69398125946799</v>
      </c>
      <c r="J171" s="2" t="s">
        <v>444</v>
      </c>
      <c r="K171" s="2" t="s">
        <v>173</v>
      </c>
      <c r="L171" s="3">
        <v>2886.64</v>
      </c>
      <c r="M171" s="2" t="s">
        <v>445</v>
      </c>
      <c r="N171" s="2" t="s">
        <v>135</v>
      </c>
      <c r="O171" s="3">
        <v>1479.78</v>
      </c>
      <c r="P171" s="2" t="s">
        <v>42</v>
      </c>
    </row>
    <row r="172" spans="1:16" x14ac:dyDescent="0.25">
      <c r="A172" s="2" t="s">
        <v>7</v>
      </c>
      <c r="B172" s="2" t="s">
        <v>436</v>
      </c>
      <c r="C172" s="2" t="s">
        <v>436</v>
      </c>
      <c r="D172" s="6" t="s">
        <v>25</v>
      </c>
      <c r="E172" s="3">
        <v>933.15698908316801</v>
      </c>
      <c r="F172" s="3">
        <v>2127.6712684252502</v>
      </c>
      <c r="G172" s="3">
        <v>2214.5652797776602</v>
      </c>
      <c r="H172" s="3">
        <v>4.0839960872681198</v>
      </c>
      <c r="I172" s="3">
        <v>137.31969065071101</v>
      </c>
      <c r="J172" s="2" t="s">
        <v>446</v>
      </c>
      <c r="K172" s="2" t="s">
        <v>173</v>
      </c>
      <c r="L172" s="3">
        <v>2904.77</v>
      </c>
      <c r="M172" s="2" t="s">
        <v>447</v>
      </c>
      <c r="N172" s="2" t="s">
        <v>263</v>
      </c>
      <c r="O172" s="3">
        <v>1690.91</v>
      </c>
      <c r="P172" s="2" t="s">
        <v>46</v>
      </c>
    </row>
    <row r="173" spans="1:16" x14ac:dyDescent="0.25">
      <c r="A173" s="2" t="s">
        <v>8</v>
      </c>
      <c r="B173" s="2" t="s">
        <v>436</v>
      </c>
      <c r="C173" s="2" t="s">
        <v>436</v>
      </c>
      <c r="D173" s="6" t="s">
        <v>25</v>
      </c>
      <c r="E173" s="3">
        <v>1000.40770252811</v>
      </c>
      <c r="F173" s="3">
        <v>2214.5652797776602</v>
      </c>
      <c r="G173" s="3">
        <v>2231.8082619367001</v>
      </c>
      <c r="H173" s="3">
        <v>0.77861701872131595</v>
      </c>
      <c r="I173" s="3">
        <v>123.08987188890499</v>
      </c>
      <c r="J173" s="2" t="s">
        <v>446</v>
      </c>
      <c r="K173" s="2" t="s">
        <v>173</v>
      </c>
      <c r="L173" s="3">
        <v>2904.77</v>
      </c>
      <c r="M173" s="2" t="s">
        <v>448</v>
      </c>
      <c r="N173" s="2" t="s">
        <v>182</v>
      </c>
      <c r="O173" s="3">
        <v>1566.67</v>
      </c>
      <c r="P173" s="2" t="s">
        <v>49</v>
      </c>
    </row>
    <row r="174" spans="1:16" x14ac:dyDescent="0.25">
      <c r="A174" s="2" t="s">
        <v>3</v>
      </c>
      <c r="B174" s="2" t="s">
        <v>449</v>
      </c>
      <c r="C174" s="2" t="s">
        <v>450</v>
      </c>
      <c r="D174" s="6" t="s">
        <v>25</v>
      </c>
      <c r="E174" s="3">
        <v>867.18392575172902</v>
      </c>
      <c r="F174" s="3">
        <v>1944.6436738238399</v>
      </c>
      <c r="G174" s="3">
        <v>1959.9827752788501</v>
      </c>
      <c r="H174" s="3">
        <v>0.78878725503734903</v>
      </c>
      <c r="I174" s="3">
        <v>126.01696330796401</v>
      </c>
      <c r="J174" s="2" t="s">
        <v>451</v>
      </c>
      <c r="K174" s="2" t="s">
        <v>62</v>
      </c>
      <c r="L174" s="3">
        <v>2758.06</v>
      </c>
      <c r="M174" s="2" t="s">
        <v>452</v>
      </c>
      <c r="N174" s="2" t="s">
        <v>118</v>
      </c>
      <c r="O174" s="3">
        <v>1268.6600000000001</v>
      </c>
      <c r="P174" s="2" t="s">
        <v>30</v>
      </c>
    </row>
    <row r="175" spans="1:16" x14ac:dyDescent="0.25">
      <c r="A175" s="2" t="s">
        <v>4</v>
      </c>
      <c r="B175" s="2" t="s">
        <v>449</v>
      </c>
      <c r="C175" s="2" t="s">
        <v>450</v>
      </c>
      <c r="D175" s="6" t="s">
        <v>25</v>
      </c>
      <c r="E175" s="3">
        <v>917.934922489825</v>
      </c>
      <c r="F175" s="3">
        <v>1959.9827752788501</v>
      </c>
      <c r="G175" s="3">
        <v>1944.40389945518</v>
      </c>
      <c r="H175" s="3">
        <v>-0.79484758846685699</v>
      </c>
      <c r="I175" s="3">
        <v>111.823719940967</v>
      </c>
      <c r="J175" s="2" t="s">
        <v>453</v>
      </c>
      <c r="K175" s="2" t="s">
        <v>62</v>
      </c>
      <c r="L175" s="3">
        <v>2738.22</v>
      </c>
      <c r="M175" s="2" t="s">
        <v>454</v>
      </c>
      <c r="N175" s="2" t="s">
        <v>118</v>
      </c>
      <c r="O175" s="3">
        <v>1296.57</v>
      </c>
      <c r="P175" s="2" t="s">
        <v>35</v>
      </c>
    </row>
    <row r="176" spans="1:16" x14ac:dyDescent="0.25">
      <c r="A176" s="2" t="s">
        <v>5</v>
      </c>
      <c r="B176" s="2" t="s">
        <v>449</v>
      </c>
      <c r="C176" s="2" t="s">
        <v>449</v>
      </c>
      <c r="D176" s="6" t="s">
        <v>25</v>
      </c>
      <c r="E176" s="3">
        <v>1021.78569428834</v>
      </c>
      <c r="F176" s="3">
        <v>1944.40389945518</v>
      </c>
      <c r="G176" s="3">
        <v>2067.99782298932</v>
      </c>
      <c r="H176" s="3">
        <v>6.3563914662364498</v>
      </c>
      <c r="I176" s="3">
        <v>102.39056335875399</v>
      </c>
      <c r="J176" s="2" t="s">
        <v>455</v>
      </c>
      <c r="K176" s="2" t="s">
        <v>173</v>
      </c>
      <c r="L176" s="3">
        <v>2559.7399999999998</v>
      </c>
      <c r="M176" s="2" t="s">
        <v>456</v>
      </c>
      <c r="N176" s="2" t="s">
        <v>263</v>
      </c>
      <c r="O176" s="3">
        <v>1578.69</v>
      </c>
      <c r="P176" s="2" t="s">
        <v>40</v>
      </c>
    </row>
    <row r="177" spans="1:16" x14ac:dyDescent="0.25">
      <c r="A177" s="2" t="s">
        <v>6</v>
      </c>
      <c r="B177" s="2" t="s">
        <v>449</v>
      </c>
      <c r="C177" s="2" t="s">
        <v>449</v>
      </c>
      <c r="D177" s="6" t="s">
        <v>25</v>
      </c>
      <c r="E177" s="3">
        <v>1222.96659302136</v>
      </c>
      <c r="F177" s="3">
        <v>2067.99782298932</v>
      </c>
      <c r="G177" s="3">
        <v>2088.8216830603901</v>
      </c>
      <c r="H177" s="3">
        <v>1.0069575431648199</v>
      </c>
      <c r="I177" s="3">
        <v>70.799570076556506</v>
      </c>
      <c r="J177" s="2" t="s">
        <v>457</v>
      </c>
      <c r="K177" s="2" t="s">
        <v>173</v>
      </c>
      <c r="L177" s="3">
        <v>2600</v>
      </c>
      <c r="M177" s="2" t="s">
        <v>458</v>
      </c>
      <c r="N177" s="2" t="s">
        <v>263</v>
      </c>
      <c r="O177" s="3">
        <v>1516.13</v>
      </c>
      <c r="P177" s="2" t="s">
        <v>42</v>
      </c>
    </row>
    <row r="178" spans="1:16" x14ac:dyDescent="0.25">
      <c r="A178" s="2" t="s">
        <v>7</v>
      </c>
      <c r="B178" s="2" t="s">
        <v>449</v>
      </c>
      <c r="C178" s="2" t="s">
        <v>449</v>
      </c>
      <c r="D178" s="6" t="s">
        <v>25</v>
      </c>
      <c r="E178" s="3">
        <v>1340.7437666679</v>
      </c>
      <c r="F178" s="3">
        <v>2088.8216830603901</v>
      </c>
      <c r="G178" s="3">
        <v>2242.63821870628</v>
      </c>
      <c r="H178" s="3">
        <v>7.3637944728977001</v>
      </c>
      <c r="I178" s="3">
        <v>67.268218914030598</v>
      </c>
      <c r="J178" s="2" t="s">
        <v>459</v>
      </c>
      <c r="K178" s="2" t="s">
        <v>37</v>
      </c>
      <c r="L178" s="3">
        <v>2691</v>
      </c>
      <c r="M178" s="2" t="s">
        <v>460</v>
      </c>
      <c r="N178" s="2" t="s">
        <v>263</v>
      </c>
      <c r="O178" s="3">
        <v>1773.87</v>
      </c>
      <c r="P178" s="2" t="s">
        <v>46</v>
      </c>
    </row>
    <row r="179" spans="1:16" x14ac:dyDescent="0.25">
      <c r="A179" s="2" t="s">
        <v>8</v>
      </c>
      <c r="B179" s="2" t="s">
        <v>449</v>
      </c>
      <c r="C179" s="2" t="s">
        <v>449</v>
      </c>
      <c r="D179" s="6" t="s">
        <v>25</v>
      </c>
      <c r="E179" s="3">
        <v>1399.3408001160401</v>
      </c>
      <c r="F179" s="3">
        <v>2242.63821870628</v>
      </c>
      <c r="G179" s="3">
        <v>2144.0498599702601</v>
      </c>
      <c r="H179" s="3">
        <v>-4.3960884066668298</v>
      </c>
      <c r="I179" s="3">
        <v>53.218562611227803</v>
      </c>
      <c r="J179" s="2" t="s">
        <v>461</v>
      </c>
      <c r="K179" s="2" t="s">
        <v>37</v>
      </c>
      <c r="L179" s="3">
        <v>2600</v>
      </c>
      <c r="M179" s="2" t="s">
        <v>462</v>
      </c>
      <c r="N179" s="2" t="s">
        <v>263</v>
      </c>
      <c r="O179" s="3">
        <v>1800</v>
      </c>
      <c r="P179" s="2" t="s">
        <v>49</v>
      </c>
    </row>
    <row r="180" spans="1:16" x14ac:dyDescent="0.25">
      <c r="A180" s="2" t="s">
        <v>3</v>
      </c>
      <c r="B180" s="2" t="s">
        <v>463</v>
      </c>
      <c r="C180" s="2" t="s">
        <v>464</v>
      </c>
      <c r="D180" s="6" t="s">
        <v>25</v>
      </c>
      <c r="E180" s="3">
        <v>1137.4028986358601</v>
      </c>
      <c r="F180" s="3">
        <v>2471.2836299822602</v>
      </c>
      <c r="G180" s="3">
        <v>2489.1472970599498</v>
      </c>
      <c r="H180" s="3">
        <v>0.72284973124780605</v>
      </c>
      <c r="I180" s="3">
        <v>118.844817438508</v>
      </c>
      <c r="J180" s="2" t="s">
        <v>465</v>
      </c>
      <c r="K180" s="2" t="s">
        <v>62</v>
      </c>
      <c r="L180" s="3">
        <v>3263.85</v>
      </c>
      <c r="M180" s="2" t="s">
        <v>466</v>
      </c>
      <c r="N180" s="2" t="s">
        <v>59</v>
      </c>
      <c r="O180" s="3">
        <v>2023.94</v>
      </c>
      <c r="P180" s="2" t="s">
        <v>30</v>
      </c>
    </row>
    <row r="181" spans="1:16" x14ac:dyDescent="0.25">
      <c r="A181" s="2" t="s">
        <v>4</v>
      </c>
      <c r="B181" s="2" t="s">
        <v>463</v>
      </c>
      <c r="C181" s="2" t="s">
        <v>464</v>
      </c>
      <c r="D181" s="6" t="s">
        <v>25</v>
      </c>
      <c r="E181" s="3">
        <v>1226.2930354790799</v>
      </c>
      <c r="F181" s="3">
        <v>2489.1472970599498</v>
      </c>
      <c r="G181" s="3">
        <v>2520.7757247703398</v>
      </c>
      <c r="H181" s="3">
        <v>1.2706531167416799</v>
      </c>
      <c r="I181" s="3">
        <v>105.560632886213</v>
      </c>
      <c r="J181" s="2" t="s">
        <v>467</v>
      </c>
      <c r="K181" s="2" t="s">
        <v>318</v>
      </c>
      <c r="L181" s="3">
        <v>3350.33</v>
      </c>
      <c r="M181" s="2" t="s">
        <v>468</v>
      </c>
      <c r="N181" s="2" t="s">
        <v>29</v>
      </c>
      <c r="O181" s="3">
        <v>1757.13</v>
      </c>
      <c r="P181" s="2" t="s">
        <v>35</v>
      </c>
    </row>
    <row r="182" spans="1:16" x14ac:dyDescent="0.25">
      <c r="A182" s="2" t="s">
        <v>5</v>
      </c>
      <c r="B182" s="2" t="s">
        <v>463</v>
      </c>
      <c r="C182" s="2" t="s">
        <v>463</v>
      </c>
      <c r="D182" s="6" t="s">
        <v>25</v>
      </c>
      <c r="E182" s="3">
        <v>1322.0056067155599</v>
      </c>
      <c r="F182" s="3">
        <v>2520.7757247703398</v>
      </c>
      <c r="G182" s="3">
        <v>2505.47939908644</v>
      </c>
      <c r="H182" s="3">
        <v>-0.60681025819106604</v>
      </c>
      <c r="I182" s="3">
        <v>89.521087229815606</v>
      </c>
      <c r="J182" s="2" t="s">
        <v>469</v>
      </c>
      <c r="K182" s="2" t="s">
        <v>173</v>
      </c>
      <c r="L182" s="3">
        <v>3181.82</v>
      </c>
      <c r="M182" s="2" t="s">
        <v>470</v>
      </c>
      <c r="N182" s="2" t="s">
        <v>263</v>
      </c>
      <c r="O182" s="3">
        <v>1935.48</v>
      </c>
      <c r="P182" s="2" t="s">
        <v>40</v>
      </c>
    </row>
    <row r="183" spans="1:16" x14ac:dyDescent="0.25">
      <c r="A183" s="2" t="s">
        <v>6</v>
      </c>
      <c r="B183" s="2" t="s">
        <v>463</v>
      </c>
      <c r="C183" s="2" t="s">
        <v>463</v>
      </c>
      <c r="D183" s="6" t="s">
        <v>25</v>
      </c>
      <c r="E183" s="3">
        <v>1549.4998070945601</v>
      </c>
      <c r="F183" s="3">
        <v>2505.47939908644</v>
      </c>
      <c r="G183" s="3">
        <v>2565.0914537854501</v>
      </c>
      <c r="H183" s="3">
        <v>2.3792674057004901</v>
      </c>
      <c r="I183" s="3">
        <v>65.543192844612193</v>
      </c>
      <c r="J183" s="2" t="s">
        <v>471</v>
      </c>
      <c r="K183" s="2" t="s">
        <v>173</v>
      </c>
      <c r="L183" s="3">
        <v>3190.91</v>
      </c>
      <c r="M183" s="2" t="s">
        <v>472</v>
      </c>
      <c r="N183" s="2" t="s">
        <v>263</v>
      </c>
      <c r="O183" s="3">
        <v>1938.71</v>
      </c>
      <c r="P183" s="2" t="s">
        <v>42</v>
      </c>
    </row>
    <row r="184" spans="1:16" x14ac:dyDescent="0.25">
      <c r="A184" s="2" t="s">
        <v>7</v>
      </c>
      <c r="B184" s="2" t="s">
        <v>463</v>
      </c>
      <c r="C184" s="2" t="s">
        <v>463</v>
      </c>
      <c r="D184" s="6" t="s">
        <v>25</v>
      </c>
      <c r="E184" s="3">
        <v>1633.9359284030299</v>
      </c>
      <c r="F184" s="3">
        <v>2565.0914537854501</v>
      </c>
      <c r="G184" s="3">
        <v>2679.5060014625401</v>
      </c>
      <c r="H184" s="3">
        <v>4.4604471122556797</v>
      </c>
      <c r="I184" s="3">
        <v>63.990885743079502</v>
      </c>
      <c r="J184" s="2" t="s">
        <v>473</v>
      </c>
      <c r="K184" s="2" t="s">
        <v>173</v>
      </c>
      <c r="L184" s="3">
        <v>3590.91</v>
      </c>
      <c r="M184" s="2" t="s">
        <v>474</v>
      </c>
      <c r="N184" s="2" t="s">
        <v>263</v>
      </c>
      <c r="O184" s="3">
        <v>2125.16</v>
      </c>
      <c r="P184" s="2" t="s">
        <v>46</v>
      </c>
    </row>
    <row r="185" spans="1:16" x14ac:dyDescent="0.25">
      <c r="A185" s="2" t="s">
        <v>8</v>
      </c>
      <c r="B185" s="2" t="s">
        <v>463</v>
      </c>
      <c r="C185" s="2" t="s">
        <v>463</v>
      </c>
      <c r="D185" s="6" t="s">
        <v>25</v>
      </c>
      <c r="E185" s="3">
        <v>1771.5635205881199</v>
      </c>
      <c r="F185" s="3">
        <v>2679.5060014625401</v>
      </c>
      <c r="G185" s="3">
        <v>2574.11484187629</v>
      </c>
      <c r="H185" s="3">
        <v>-3.9332309585694398</v>
      </c>
      <c r="I185" s="3">
        <v>45.3018653839598</v>
      </c>
      <c r="J185" s="2" t="s">
        <v>475</v>
      </c>
      <c r="K185" s="2" t="s">
        <v>401</v>
      </c>
      <c r="L185" s="3">
        <v>3200</v>
      </c>
      <c r="M185" s="2" t="s">
        <v>212</v>
      </c>
      <c r="N185" s="2" t="s">
        <v>34</v>
      </c>
      <c r="O185" s="3">
        <v>2000</v>
      </c>
      <c r="P185" s="2" t="s">
        <v>49</v>
      </c>
    </row>
    <row r="186" spans="1:16" x14ac:dyDescent="0.25">
      <c r="A186" s="2" t="s">
        <v>3</v>
      </c>
      <c r="B186" s="2" t="s">
        <v>476</v>
      </c>
      <c r="C186" s="2" t="s">
        <v>476</v>
      </c>
      <c r="D186" s="8" t="s">
        <v>102</v>
      </c>
      <c r="E186" s="3">
        <v>936.245343338834</v>
      </c>
      <c r="F186" s="3">
        <v>2068.1971206654098</v>
      </c>
      <c r="G186" s="3">
        <v>2104.43470961504</v>
      </c>
      <c r="H186" s="3">
        <v>1.75213419395764</v>
      </c>
      <c r="I186" s="3">
        <v>124.773850635157</v>
      </c>
      <c r="J186" s="2" t="s">
        <v>477</v>
      </c>
      <c r="K186" s="2" t="s">
        <v>62</v>
      </c>
      <c r="L186" s="3">
        <v>2910.41</v>
      </c>
      <c r="M186" s="2" t="s">
        <v>478</v>
      </c>
      <c r="N186" s="2" t="s">
        <v>118</v>
      </c>
      <c r="O186" s="3">
        <v>1630.42</v>
      </c>
      <c r="P186" s="2" t="s">
        <v>30</v>
      </c>
    </row>
    <row r="187" spans="1:16" x14ac:dyDescent="0.25">
      <c r="A187" s="2" t="s">
        <v>4</v>
      </c>
      <c r="B187" s="2" t="s">
        <v>476</v>
      </c>
      <c r="C187" s="2" t="s">
        <v>476</v>
      </c>
      <c r="D187" s="8" t="s">
        <v>102</v>
      </c>
      <c r="E187" s="3">
        <v>991.08314386853704</v>
      </c>
      <c r="F187" s="3">
        <v>2104.43470961504</v>
      </c>
      <c r="G187" s="3">
        <v>2092.3905788274701</v>
      </c>
      <c r="H187" s="3">
        <v>-0.57232142829324495</v>
      </c>
      <c r="I187" s="3">
        <v>111.121598805541</v>
      </c>
      <c r="J187" s="2" t="s">
        <v>479</v>
      </c>
      <c r="K187" s="2" t="s">
        <v>62</v>
      </c>
      <c r="L187" s="3">
        <v>2900.11</v>
      </c>
      <c r="M187" s="2" t="s">
        <v>480</v>
      </c>
      <c r="N187" s="2" t="s">
        <v>118</v>
      </c>
      <c r="O187" s="3">
        <v>1666.29</v>
      </c>
      <c r="P187" s="2" t="s">
        <v>35</v>
      </c>
    </row>
    <row r="188" spans="1:16" x14ac:dyDescent="0.25">
      <c r="A188" s="2" t="s">
        <v>3</v>
      </c>
      <c r="B188" s="2" t="s">
        <v>481</v>
      </c>
      <c r="C188" s="2" t="s">
        <v>481</v>
      </c>
      <c r="D188" s="8" t="s">
        <v>102</v>
      </c>
      <c r="E188" s="3">
        <v>916.69480414695704</v>
      </c>
      <c r="F188" s="3">
        <v>2023.6838751770299</v>
      </c>
      <c r="G188" s="3">
        <v>2042.3536770686101</v>
      </c>
      <c r="H188" s="3">
        <v>0.92256513581917099</v>
      </c>
      <c r="I188" s="3">
        <v>122.795380515891</v>
      </c>
      <c r="J188" s="2" t="s">
        <v>482</v>
      </c>
      <c r="K188" s="2" t="s">
        <v>171</v>
      </c>
      <c r="L188" s="3">
        <v>3121.18</v>
      </c>
      <c r="M188" s="2" t="s">
        <v>483</v>
      </c>
      <c r="N188" s="2" t="s">
        <v>118</v>
      </c>
      <c r="O188" s="3">
        <v>1356.37</v>
      </c>
      <c r="P188" s="2" t="s">
        <v>30</v>
      </c>
    </row>
    <row r="189" spans="1:16" x14ac:dyDescent="0.25">
      <c r="A189" s="2" t="s">
        <v>4</v>
      </c>
      <c r="B189" s="2" t="s">
        <v>481</v>
      </c>
      <c r="C189" s="2" t="s">
        <v>481</v>
      </c>
      <c r="D189" s="8" t="s">
        <v>102</v>
      </c>
      <c r="E189" s="3">
        <v>972.46153562265397</v>
      </c>
      <c r="F189" s="3">
        <v>2042.3536770686101</v>
      </c>
      <c r="G189" s="3">
        <v>2037.30324925339</v>
      </c>
      <c r="H189" s="3">
        <v>-0.247284682957915</v>
      </c>
      <c r="I189" s="3">
        <v>109.499622825589</v>
      </c>
      <c r="J189" s="2" t="s">
        <v>484</v>
      </c>
      <c r="K189" s="2" t="s">
        <v>171</v>
      </c>
      <c r="L189" s="3">
        <v>3202.33</v>
      </c>
      <c r="M189" s="2" t="s">
        <v>485</v>
      </c>
      <c r="N189" s="2" t="s">
        <v>118</v>
      </c>
      <c r="O189" s="3">
        <v>1386.21</v>
      </c>
      <c r="P189" s="2" t="s">
        <v>35</v>
      </c>
    </row>
    <row r="190" spans="1:16" x14ac:dyDescent="0.25">
      <c r="A190" s="2" t="s">
        <v>5</v>
      </c>
      <c r="B190" s="2" t="s">
        <v>486</v>
      </c>
      <c r="C190" s="2" t="s">
        <v>486</v>
      </c>
      <c r="D190" s="9" t="s">
        <v>154</v>
      </c>
      <c r="E190" s="3"/>
      <c r="F190" s="3"/>
      <c r="G190" s="3">
        <v>2072.0011794684701</v>
      </c>
      <c r="H190" s="3"/>
      <c r="I190" s="3"/>
      <c r="J190" s="2" t="s">
        <v>487</v>
      </c>
      <c r="K190" s="2" t="s">
        <v>128</v>
      </c>
      <c r="L190" s="3">
        <v>2550</v>
      </c>
      <c r="M190" s="2" t="s">
        <v>488</v>
      </c>
      <c r="N190" s="2" t="s">
        <v>263</v>
      </c>
      <c r="O190" s="3">
        <v>1700</v>
      </c>
      <c r="P190" s="2" t="s">
        <v>40</v>
      </c>
    </row>
    <row r="191" spans="1:16" x14ac:dyDescent="0.25">
      <c r="A191" s="2" t="s">
        <v>6</v>
      </c>
      <c r="B191" s="2" t="s">
        <v>486</v>
      </c>
      <c r="C191" s="2" t="s">
        <v>486</v>
      </c>
      <c r="D191" s="9" t="s">
        <v>154</v>
      </c>
      <c r="E191" s="3"/>
      <c r="F191" s="3">
        <v>2072.0011794684701</v>
      </c>
      <c r="G191" s="3">
        <v>2089.7943657252299</v>
      </c>
      <c r="H191" s="3">
        <v>0.85874402162845698</v>
      </c>
      <c r="I191" s="3"/>
      <c r="J191" s="2" t="s">
        <v>489</v>
      </c>
      <c r="K191" s="2" t="s">
        <v>128</v>
      </c>
      <c r="L191" s="3">
        <v>2580</v>
      </c>
      <c r="M191" s="2" t="s">
        <v>490</v>
      </c>
      <c r="N191" s="2" t="s">
        <v>430</v>
      </c>
      <c r="O191" s="3">
        <v>1800</v>
      </c>
      <c r="P191" s="2" t="s">
        <v>42</v>
      </c>
    </row>
    <row r="192" spans="1:16" x14ac:dyDescent="0.25">
      <c r="A192" s="2" t="s">
        <v>7</v>
      </c>
      <c r="B192" s="2" t="s">
        <v>486</v>
      </c>
      <c r="C192" s="2" t="s">
        <v>486</v>
      </c>
      <c r="D192" s="9" t="s">
        <v>154</v>
      </c>
      <c r="E192" s="3"/>
      <c r="F192" s="3">
        <v>2089.7943657252299</v>
      </c>
      <c r="G192" s="3">
        <v>2173.1178654254099</v>
      </c>
      <c r="H192" s="3">
        <v>3.9871626159382498</v>
      </c>
      <c r="I192" s="3"/>
      <c r="J192" s="2" t="s">
        <v>491</v>
      </c>
      <c r="K192" s="2" t="s">
        <v>128</v>
      </c>
      <c r="L192" s="3">
        <v>2775</v>
      </c>
      <c r="M192" s="2" t="s">
        <v>490</v>
      </c>
      <c r="N192" s="2" t="s">
        <v>430</v>
      </c>
      <c r="O192" s="3">
        <v>1800</v>
      </c>
      <c r="P192" s="2" t="s">
        <v>46</v>
      </c>
    </row>
    <row r="193" spans="1:16" x14ac:dyDescent="0.25">
      <c r="A193" s="2" t="s">
        <v>8</v>
      </c>
      <c r="B193" s="2" t="s">
        <v>486</v>
      </c>
      <c r="C193" s="2" t="s">
        <v>486</v>
      </c>
      <c r="D193" s="9" t="s">
        <v>154</v>
      </c>
      <c r="E193" s="3"/>
      <c r="F193" s="3">
        <v>2173.1178654254099</v>
      </c>
      <c r="G193" s="3">
        <v>2257.19816002057</v>
      </c>
      <c r="H193" s="3">
        <v>3.8691088013627599</v>
      </c>
      <c r="I193" s="3"/>
      <c r="J193" s="2" t="s">
        <v>492</v>
      </c>
      <c r="K193" s="2" t="s">
        <v>39</v>
      </c>
      <c r="L193" s="3">
        <v>2887</v>
      </c>
      <c r="M193" s="2" t="s">
        <v>493</v>
      </c>
      <c r="N193" s="2" t="s">
        <v>430</v>
      </c>
      <c r="O193" s="3">
        <v>1900</v>
      </c>
      <c r="P193" s="2" t="s">
        <v>49</v>
      </c>
    </row>
    <row r="194" spans="1:16" x14ac:dyDescent="0.25">
      <c r="A194" s="2" t="s">
        <v>5</v>
      </c>
      <c r="B194" s="2" t="s">
        <v>494</v>
      </c>
      <c r="C194" s="2" t="s">
        <v>494</v>
      </c>
      <c r="D194" s="9" t="s">
        <v>154</v>
      </c>
      <c r="E194" s="3"/>
      <c r="F194" s="3"/>
      <c r="G194" s="3">
        <v>5407.6326790166704</v>
      </c>
      <c r="H194" s="3"/>
      <c r="I194" s="3"/>
      <c r="J194" s="2" t="s">
        <v>495</v>
      </c>
      <c r="K194" s="2" t="s">
        <v>318</v>
      </c>
      <c r="L194" s="3">
        <v>8000</v>
      </c>
      <c r="M194" s="2" t="s">
        <v>496</v>
      </c>
      <c r="N194" s="2" t="s">
        <v>189</v>
      </c>
      <c r="O194" s="3">
        <v>3360.04</v>
      </c>
      <c r="P194" s="2" t="s">
        <v>40</v>
      </c>
    </row>
    <row r="195" spans="1:16" x14ac:dyDescent="0.25">
      <c r="A195" s="2" t="s">
        <v>6</v>
      </c>
      <c r="B195" s="2" t="s">
        <v>494</v>
      </c>
      <c r="C195" s="2" t="s">
        <v>494</v>
      </c>
      <c r="D195" s="9" t="s">
        <v>154</v>
      </c>
      <c r="E195" s="3"/>
      <c r="F195" s="3">
        <v>5407.6326790166704</v>
      </c>
      <c r="G195" s="3">
        <v>5458.01897597883</v>
      </c>
      <c r="H195" s="3">
        <v>0.93176256511798505</v>
      </c>
      <c r="I195" s="3"/>
      <c r="J195" s="2" t="s">
        <v>497</v>
      </c>
      <c r="K195" s="2" t="s">
        <v>318</v>
      </c>
      <c r="L195" s="3">
        <v>8230</v>
      </c>
      <c r="M195" s="2" t="s">
        <v>498</v>
      </c>
      <c r="N195" s="2" t="s">
        <v>189</v>
      </c>
      <c r="O195" s="3">
        <v>3401.7</v>
      </c>
      <c r="P195" s="2" t="s">
        <v>42</v>
      </c>
    </row>
    <row r="196" spans="1:16" x14ac:dyDescent="0.25">
      <c r="A196" s="2" t="s">
        <v>7</v>
      </c>
      <c r="B196" s="2" t="s">
        <v>494</v>
      </c>
      <c r="C196" s="2" t="s">
        <v>494</v>
      </c>
      <c r="D196" s="9" t="s">
        <v>154</v>
      </c>
      <c r="E196" s="3"/>
      <c r="F196" s="3">
        <v>5458.01897597883</v>
      </c>
      <c r="G196" s="3">
        <v>5752.7551214759096</v>
      </c>
      <c r="H196" s="3">
        <v>5.4000571781490097</v>
      </c>
      <c r="I196" s="3"/>
      <c r="J196" s="2" t="s">
        <v>499</v>
      </c>
      <c r="K196" s="2" t="s">
        <v>318</v>
      </c>
      <c r="L196" s="3">
        <v>8258</v>
      </c>
      <c r="M196" s="2" t="s">
        <v>500</v>
      </c>
      <c r="N196" s="2" t="s">
        <v>189</v>
      </c>
      <c r="O196" s="3">
        <v>3645.99</v>
      </c>
      <c r="P196" s="2" t="s">
        <v>46</v>
      </c>
    </row>
    <row r="197" spans="1:16" x14ac:dyDescent="0.25">
      <c r="A197" s="2" t="s">
        <v>8</v>
      </c>
      <c r="B197" s="2" t="s">
        <v>494</v>
      </c>
      <c r="C197" s="2" t="s">
        <v>494</v>
      </c>
      <c r="D197" s="9" t="s">
        <v>154</v>
      </c>
      <c r="E197" s="3"/>
      <c r="F197" s="3">
        <v>5752.7551214759096</v>
      </c>
      <c r="G197" s="3">
        <v>5920.8372821896501</v>
      </c>
      <c r="H197" s="3">
        <v>2.9217680426942398</v>
      </c>
      <c r="I197" s="3"/>
      <c r="J197" s="2" t="s">
        <v>499</v>
      </c>
      <c r="K197" s="2" t="s">
        <v>318</v>
      </c>
      <c r="L197" s="3">
        <v>8258</v>
      </c>
      <c r="M197" s="2" t="s">
        <v>501</v>
      </c>
      <c r="N197" s="2" t="s">
        <v>189</v>
      </c>
      <c r="O197" s="3">
        <v>3871.39</v>
      </c>
      <c r="P197" s="2" t="s">
        <v>49</v>
      </c>
    </row>
    <row r="198" spans="1:16" x14ac:dyDescent="0.25">
      <c r="A198" s="2" t="s">
        <v>3</v>
      </c>
      <c r="B198" s="2" t="s">
        <v>502</v>
      </c>
      <c r="C198" s="2" t="s">
        <v>503</v>
      </c>
      <c r="D198" s="6" t="s">
        <v>25</v>
      </c>
      <c r="E198" s="3">
        <v>490.80301319229602</v>
      </c>
      <c r="F198" s="3">
        <v>898.53186258447499</v>
      </c>
      <c r="G198" s="3">
        <v>942.23834413034206</v>
      </c>
      <c r="H198" s="3">
        <v>4.8642105378602496</v>
      </c>
      <c r="I198" s="3">
        <v>91.978924090503497</v>
      </c>
      <c r="J198" s="2" t="s">
        <v>504</v>
      </c>
      <c r="K198" s="2" t="s">
        <v>401</v>
      </c>
      <c r="L198" s="3">
        <v>1989.04</v>
      </c>
      <c r="M198" s="2" t="s">
        <v>505</v>
      </c>
      <c r="N198" s="2" t="s">
        <v>39</v>
      </c>
      <c r="O198" s="3">
        <v>450</v>
      </c>
      <c r="P198" s="2" t="s">
        <v>30</v>
      </c>
    </row>
    <row r="199" spans="1:16" x14ac:dyDescent="0.25">
      <c r="A199" s="2" t="s">
        <v>4</v>
      </c>
      <c r="B199" s="2" t="s">
        <v>502</v>
      </c>
      <c r="C199" s="2" t="s">
        <v>503</v>
      </c>
      <c r="D199" s="6" t="s">
        <v>25</v>
      </c>
      <c r="E199" s="3">
        <v>551.92333314861503</v>
      </c>
      <c r="F199" s="3">
        <v>942.23834413034206</v>
      </c>
      <c r="G199" s="3">
        <v>930.78900812666495</v>
      </c>
      <c r="H199" s="3">
        <v>-1.2151210014960601</v>
      </c>
      <c r="I199" s="3">
        <v>68.644620044725201</v>
      </c>
      <c r="J199" s="2" t="s">
        <v>506</v>
      </c>
      <c r="K199" s="2" t="s">
        <v>401</v>
      </c>
      <c r="L199" s="3">
        <v>1969.15</v>
      </c>
      <c r="M199" s="2" t="s">
        <v>505</v>
      </c>
      <c r="N199" s="2" t="s">
        <v>39</v>
      </c>
      <c r="O199" s="3">
        <v>450</v>
      </c>
      <c r="P199" s="2" t="s">
        <v>35</v>
      </c>
    </row>
    <row r="200" spans="1:16" x14ac:dyDescent="0.25">
      <c r="A200" s="2" t="s">
        <v>5</v>
      </c>
      <c r="B200" s="2" t="s">
        <v>502</v>
      </c>
      <c r="C200" s="2" t="s">
        <v>507</v>
      </c>
      <c r="D200" s="6" t="s">
        <v>25</v>
      </c>
      <c r="E200" s="3">
        <v>615.472583483883</v>
      </c>
      <c r="F200" s="3">
        <v>930.78900812666495</v>
      </c>
      <c r="G200" s="3">
        <v>852.51531154864904</v>
      </c>
      <c r="H200" s="3">
        <v>-8.4093920205989807</v>
      </c>
      <c r="I200" s="3">
        <v>38.513937813929097</v>
      </c>
      <c r="J200" s="2" t="s">
        <v>380</v>
      </c>
      <c r="K200" s="2" t="s">
        <v>34</v>
      </c>
      <c r="L200" s="3">
        <v>1700</v>
      </c>
      <c r="M200" s="2" t="s">
        <v>508</v>
      </c>
      <c r="N200" s="2" t="s">
        <v>171</v>
      </c>
      <c r="O200" s="3">
        <v>500</v>
      </c>
      <c r="P200" s="2" t="s">
        <v>40</v>
      </c>
    </row>
    <row r="201" spans="1:16" x14ac:dyDescent="0.25">
      <c r="A201" s="2" t="s">
        <v>6</v>
      </c>
      <c r="B201" s="2" t="s">
        <v>502</v>
      </c>
      <c r="C201" s="2" t="s">
        <v>507</v>
      </c>
      <c r="D201" s="6" t="s">
        <v>25</v>
      </c>
      <c r="E201" s="3">
        <v>672.82862658415297</v>
      </c>
      <c r="F201" s="3">
        <v>852.51531154864904</v>
      </c>
      <c r="G201" s="3">
        <v>823.29869998066295</v>
      </c>
      <c r="H201" s="3">
        <v>-3.4271069589251302</v>
      </c>
      <c r="I201" s="3">
        <v>22.363803716322799</v>
      </c>
      <c r="J201" s="2" t="s">
        <v>509</v>
      </c>
      <c r="K201" s="2" t="s">
        <v>34</v>
      </c>
      <c r="L201" s="3">
        <v>1594.31</v>
      </c>
      <c r="M201" s="2" t="s">
        <v>510</v>
      </c>
      <c r="N201" s="2" t="s">
        <v>39</v>
      </c>
      <c r="O201" s="3">
        <v>520</v>
      </c>
      <c r="P201" s="2" t="s">
        <v>42</v>
      </c>
    </row>
    <row r="202" spans="1:16" x14ac:dyDescent="0.25">
      <c r="A202" s="2" t="s">
        <v>7</v>
      </c>
      <c r="B202" s="2" t="s">
        <v>502</v>
      </c>
      <c r="C202" s="2" t="s">
        <v>507</v>
      </c>
      <c r="D202" s="6" t="s">
        <v>25</v>
      </c>
      <c r="E202" s="3">
        <v>689.46756451810097</v>
      </c>
      <c r="F202" s="3">
        <v>823.29869998066295</v>
      </c>
      <c r="G202" s="3">
        <v>909.88487977933903</v>
      </c>
      <c r="H202" s="3">
        <v>10.516982451291399</v>
      </c>
      <c r="I202" s="3">
        <v>31.969207342668501</v>
      </c>
      <c r="J202" s="2" t="s">
        <v>511</v>
      </c>
      <c r="K202" s="2" t="s">
        <v>34</v>
      </c>
      <c r="L202" s="3">
        <v>1817.51</v>
      </c>
      <c r="M202" s="2" t="s">
        <v>512</v>
      </c>
      <c r="N202" s="2" t="s">
        <v>39</v>
      </c>
      <c r="O202" s="3">
        <v>530</v>
      </c>
      <c r="P202" s="2" t="s">
        <v>46</v>
      </c>
    </row>
    <row r="203" spans="1:16" x14ac:dyDescent="0.25">
      <c r="A203" s="2" t="s">
        <v>8</v>
      </c>
      <c r="B203" s="2" t="s">
        <v>502</v>
      </c>
      <c r="C203" s="2" t="s">
        <v>507</v>
      </c>
      <c r="D203" s="6" t="s">
        <v>25</v>
      </c>
      <c r="E203" s="3">
        <v>807.34893293995503</v>
      </c>
      <c r="F203" s="3">
        <v>909.88487977933903</v>
      </c>
      <c r="G203" s="3">
        <v>938.42378465177205</v>
      </c>
      <c r="H203" s="3">
        <v>3.1365401829024901</v>
      </c>
      <c r="I203" s="3">
        <v>16.235217062157901</v>
      </c>
      <c r="J203" s="2" t="s">
        <v>513</v>
      </c>
      <c r="K203" s="2" t="s">
        <v>141</v>
      </c>
      <c r="L203" s="3">
        <v>1588.38</v>
      </c>
      <c r="M203" s="2" t="s">
        <v>514</v>
      </c>
      <c r="N203" s="2" t="s">
        <v>171</v>
      </c>
      <c r="O203" s="3">
        <v>560</v>
      </c>
      <c r="P203" s="2" t="s">
        <v>49</v>
      </c>
    </row>
    <row r="204" spans="1:16" x14ac:dyDescent="0.25">
      <c r="A204" s="2" t="s">
        <v>3</v>
      </c>
      <c r="B204" s="2" t="s">
        <v>515</v>
      </c>
      <c r="C204" s="2" t="s">
        <v>516</v>
      </c>
      <c r="D204" s="6" t="s">
        <v>25</v>
      </c>
      <c r="E204" s="3">
        <v>1979.7690534897599</v>
      </c>
      <c r="F204" s="3">
        <v>3944.3936965902999</v>
      </c>
      <c r="G204" s="3">
        <v>4039.6252556423601</v>
      </c>
      <c r="H204" s="3">
        <v>2.4143522776233799</v>
      </c>
      <c r="I204" s="3">
        <v>104.045277327761</v>
      </c>
      <c r="J204" s="2" t="s">
        <v>517</v>
      </c>
      <c r="K204" s="2" t="s">
        <v>80</v>
      </c>
      <c r="L204" s="3">
        <v>6384.57</v>
      </c>
      <c r="M204" s="2" t="s">
        <v>518</v>
      </c>
      <c r="N204" s="2" t="s">
        <v>34</v>
      </c>
      <c r="O204" s="3">
        <v>2200</v>
      </c>
      <c r="P204" s="2" t="s">
        <v>30</v>
      </c>
    </row>
    <row r="205" spans="1:16" x14ac:dyDescent="0.25">
      <c r="A205" s="2" t="s">
        <v>4</v>
      </c>
      <c r="B205" s="2" t="s">
        <v>515</v>
      </c>
      <c r="C205" s="2" t="s">
        <v>516</v>
      </c>
      <c r="D205" s="6" t="s">
        <v>25</v>
      </c>
      <c r="E205" s="3">
        <v>2059.5320241415802</v>
      </c>
      <c r="F205" s="3">
        <v>4039.6252556423601</v>
      </c>
      <c r="G205" s="3">
        <v>4106.7161954740204</v>
      </c>
      <c r="H205" s="3">
        <v>1.66082088277745</v>
      </c>
      <c r="I205" s="3">
        <v>99.400453468826598</v>
      </c>
      <c r="J205" s="2" t="s">
        <v>519</v>
      </c>
      <c r="K205" s="2" t="s">
        <v>80</v>
      </c>
      <c r="L205" s="3">
        <v>6440.75</v>
      </c>
      <c r="M205" s="2" t="s">
        <v>520</v>
      </c>
      <c r="N205" s="2" t="s">
        <v>34</v>
      </c>
      <c r="O205" s="3">
        <v>2300</v>
      </c>
      <c r="P205" s="2" t="s">
        <v>35</v>
      </c>
    </row>
    <row r="206" spans="1:16" x14ac:dyDescent="0.25">
      <c r="A206" s="2" t="s">
        <v>5</v>
      </c>
      <c r="B206" s="2" t="s">
        <v>515</v>
      </c>
      <c r="C206" s="2" t="s">
        <v>515</v>
      </c>
      <c r="D206" s="6" t="s">
        <v>25</v>
      </c>
      <c r="E206" s="3">
        <v>2214.4284135726998</v>
      </c>
      <c r="F206" s="3">
        <v>4106.7161954740204</v>
      </c>
      <c r="G206" s="3">
        <v>5065.3631911843804</v>
      </c>
      <c r="H206" s="3">
        <v>23.343395308564698</v>
      </c>
      <c r="I206" s="3">
        <v>128.74359632208899</v>
      </c>
      <c r="J206" s="2" t="s">
        <v>521</v>
      </c>
      <c r="K206" s="2" t="s">
        <v>118</v>
      </c>
      <c r="L206" s="3">
        <v>8239.2900000000009</v>
      </c>
      <c r="M206" s="2" t="s">
        <v>522</v>
      </c>
      <c r="N206" s="2" t="s">
        <v>189</v>
      </c>
      <c r="O206" s="3">
        <v>3692.11</v>
      </c>
      <c r="P206" s="2" t="s">
        <v>40</v>
      </c>
    </row>
    <row r="207" spans="1:16" x14ac:dyDescent="0.25">
      <c r="A207" s="2" t="s">
        <v>6</v>
      </c>
      <c r="B207" s="2" t="s">
        <v>515</v>
      </c>
      <c r="C207" s="2" t="s">
        <v>515</v>
      </c>
      <c r="D207" s="6" t="s">
        <v>25</v>
      </c>
      <c r="E207" s="3">
        <v>2445.2624845391001</v>
      </c>
      <c r="F207" s="3">
        <v>5065.3631911843804</v>
      </c>
      <c r="G207" s="3">
        <v>5103.9420286918903</v>
      </c>
      <c r="H207" s="3">
        <v>0.76162036267523403</v>
      </c>
      <c r="I207" s="3">
        <v>108.727777118533</v>
      </c>
      <c r="J207" s="2" t="s">
        <v>521</v>
      </c>
      <c r="K207" s="2" t="s">
        <v>118</v>
      </c>
      <c r="L207" s="3">
        <v>8239.2900000000009</v>
      </c>
      <c r="M207" s="2" t="s">
        <v>523</v>
      </c>
      <c r="N207" s="2" t="s">
        <v>74</v>
      </c>
      <c r="O207" s="3">
        <v>3750</v>
      </c>
      <c r="P207" s="2" t="s">
        <v>42</v>
      </c>
    </row>
    <row r="208" spans="1:16" x14ac:dyDescent="0.25">
      <c r="A208" s="2" t="s">
        <v>7</v>
      </c>
      <c r="B208" s="2" t="s">
        <v>515</v>
      </c>
      <c r="C208" s="2" t="s">
        <v>515</v>
      </c>
      <c r="D208" s="6" t="s">
        <v>25</v>
      </c>
      <c r="E208" s="3">
        <v>2728.6329831665698</v>
      </c>
      <c r="F208" s="3">
        <v>5103.9420286918903</v>
      </c>
      <c r="G208" s="3">
        <v>5459.0421429298303</v>
      </c>
      <c r="H208" s="3">
        <v>6.9573696613663101</v>
      </c>
      <c r="I208" s="3">
        <v>100.065094008892</v>
      </c>
      <c r="J208" s="2" t="s">
        <v>524</v>
      </c>
      <c r="K208" s="2" t="s">
        <v>118</v>
      </c>
      <c r="L208" s="3">
        <v>8323.74</v>
      </c>
      <c r="M208" s="2" t="s">
        <v>525</v>
      </c>
      <c r="N208" s="2" t="s">
        <v>189</v>
      </c>
      <c r="O208" s="3">
        <v>4000</v>
      </c>
      <c r="P208" s="2" t="s">
        <v>46</v>
      </c>
    </row>
    <row r="209" spans="1:16" x14ac:dyDescent="0.25">
      <c r="A209" s="2" t="s">
        <v>8</v>
      </c>
      <c r="B209" s="2" t="s">
        <v>515</v>
      </c>
      <c r="C209" s="2" t="s">
        <v>515</v>
      </c>
      <c r="D209" s="6" t="s">
        <v>25</v>
      </c>
      <c r="E209" s="3">
        <v>2828.8747467656299</v>
      </c>
      <c r="F209" s="3">
        <v>5459.0421429298303</v>
      </c>
      <c r="G209" s="3">
        <v>5489.2820246853198</v>
      </c>
      <c r="H209" s="3">
        <v>0.55394116703537799</v>
      </c>
      <c r="I209" s="3">
        <v>94.044717991188705</v>
      </c>
      <c r="J209" s="2" t="s">
        <v>526</v>
      </c>
      <c r="K209" s="2" t="s">
        <v>118</v>
      </c>
      <c r="L209" s="3">
        <v>8323.75</v>
      </c>
      <c r="M209" s="2" t="s">
        <v>527</v>
      </c>
      <c r="N209" s="2" t="s">
        <v>74</v>
      </c>
      <c r="O209" s="3">
        <v>4050</v>
      </c>
      <c r="P209" s="2" t="s">
        <v>49</v>
      </c>
    </row>
    <row r="210" spans="1:16" x14ac:dyDescent="0.25">
      <c r="A210" s="2" t="s">
        <v>3</v>
      </c>
      <c r="B210" s="2" t="s">
        <v>528</v>
      </c>
      <c r="C210" s="2" t="s">
        <v>529</v>
      </c>
      <c r="D210" s="6" t="s">
        <v>25</v>
      </c>
      <c r="E210" s="3">
        <v>526.82931145431098</v>
      </c>
      <c r="F210" s="3">
        <v>955.72723653447201</v>
      </c>
      <c r="G210" s="3">
        <v>991.20399188409101</v>
      </c>
      <c r="H210" s="3">
        <v>3.7120167756503601</v>
      </c>
      <c r="I210" s="3">
        <v>88.145186748982198</v>
      </c>
      <c r="J210" s="2" t="s">
        <v>530</v>
      </c>
      <c r="K210" s="2" t="s">
        <v>27</v>
      </c>
      <c r="L210" s="3">
        <v>1450</v>
      </c>
      <c r="M210" s="2" t="s">
        <v>531</v>
      </c>
      <c r="N210" s="2" t="s">
        <v>59</v>
      </c>
      <c r="O210" s="3">
        <v>750</v>
      </c>
      <c r="P210" s="2" t="s">
        <v>30</v>
      </c>
    </row>
    <row r="211" spans="1:16" x14ac:dyDescent="0.25">
      <c r="A211" s="2" t="s">
        <v>4</v>
      </c>
      <c r="B211" s="2" t="s">
        <v>528</v>
      </c>
      <c r="C211" s="2" t="s">
        <v>529</v>
      </c>
      <c r="D211" s="6" t="s">
        <v>25</v>
      </c>
      <c r="E211" s="3">
        <v>542.00222754434299</v>
      </c>
      <c r="F211" s="3">
        <v>991.20399188409101</v>
      </c>
      <c r="G211" s="3">
        <v>1014.7414650661</v>
      </c>
      <c r="H211" s="3">
        <v>2.3746346236228901</v>
      </c>
      <c r="I211" s="3">
        <v>87.220903069643498</v>
      </c>
      <c r="J211" s="2" t="s">
        <v>532</v>
      </c>
      <c r="K211" s="2" t="s">
        <v>27</v>
      </c>
      <c r="L211" s="3">
        <v>1455</v>
      </c>
      <c r="M211" s="2" t="s">
        <v>533</v>
      </c>
      <c r="N211" s="2" t="s">
        <v>59</v>
      </c>
      <c r="O211" s="3">
        <v>810</v>
      </c>
      <c r="P211" s="2" t="s">
        <v>35</v>
      </c>
    </row>
    <row r="212" spans="1:16" x14ac:dyDescent="0.25">
      <c r="A212" s="2" t="s">
        <v>5</v>
      </c>
      <c r="B212" s="2" t="s">
        <v>528</v>
      </c>
      <c r="C212" s="2" t="s">
        <v>528</v>
      </c>
      <c r="D212" s="6" t="s">
        <v>25</v>
      </c>
      <c r="E212" s="3">
        <v>575.78306237246795</v>
      </c>
      <c r="F212" s="3">
        <v>1014.7414650661</v>
      </c>
      <c r="G212" s="3">
        <v>928.00162815407703</v>
      </c>
      <c r="H212" s="3">
        <v>-8.5479740306439105</v>
      </c>
      <c r="I212" s="3">
        <v>61.172095672686297</v>
      </c>
      <c r="J212" s="2" t="s">
        <v>534</v>
      </c>
      <c r="K212" s="2" t="s">
        <v>128</v>
      </c>
      <c r="L212" s="3">
        <v>1150</v>
      </c>
      <c r="M212" s="2" t="s">
        <v>535</v>
      </c>
      <c r="N212" s="2" t="s">
        <v>156</v>
      </c>
      <c r="O212" s="3">
        <v>725</v>
      </c>
      <c r="P212" s="2" t="s">
        <v>40</v>
      </c>
    </row>
    <row r="213" spans="1:16" x14ac:dyDescent="0.25">
      <c r="A213" s="2" t="s">
        <v>6</v>
      </c>
      <c r="B213" s="2" t="s">
        <v>528</v>
      </c>
      <c r="C213" s="2" t="s">
        <v>528</v>
      </c>
      <c r="D213" s="6" t="s">
        <v>25</v>
      </c>
      <c r="E213" s="3">
        <v>635.99951919482805</v>
      </c>
      <c r="F213" s="3">
        <v>928.00162815407703</v>
      </c>
      <c r="G213" s="3">
        <v>931.03473383633604</v>
      </c>
      <c r="H213" s="3">
        <v>0.32684271128839598</v>
      </c>
      <c r="I213" s="3">
        <v>46.389219761521403</v>
      </c>
      <c r="J213" s="2" t="s">
        <v>536</v>
      </c>
      <c r="K213" s="2" t="s">
        <v>37</v>
      </c>
      <c r="L213" s="3">
        <v>1200</v>
      </c>
      <c r="M213" s="2" t="s">
        <v>537</v>
      </c>
      <c r="N213" s="2" t="s">
        <v>156</v>
      </c>
      <c r="O213" s="3">
        <v>782.14</v>
      </c>
      <c r="P213" s="2" t="s">
        <v>42</v>
      </c>
    </row>
    <row r="214" spans="1:16" x14ac:dyDescent="0.25">
      <c r="A214" s="2" t="s">
        <v>7</v>
      </c>
      <c r="B214" s="2" t="s">
        <v>528</v>
      </c>
      <c r="C214" s="2" t="s">
        <v>528</v>
      </c>
      <c r="D214" s="6" t="s">
        <v>25</v>
      </c>
      <c r="E214" s="3">
        <v>669.70890030858902</v>
      </c>
      <c r="F214" s="3">
        <v>931.03473383633604</v>
      </c>
      <c r="G214" s="3">
        <v>999.17967446513501</v>
      </c>
      <c r="H214" s="3">
        <v>7.3192694270391998</v>
      </c>
      <c r="I214" s="3">
        <v>49.196117000196899</v>
      </c>
      <c r="J214" s="2" t="s">
        <v>538</v>
      </c>
      <c r="K214" s="2" t="s">
        <v>37</v>
      </c>
      <c r="L214" s="3">
        <v>1287.5</v>
      </c>
      <c r="M214" s="2" t="s">
        <v>539</v>
      </c>
      <c r="N214" s="2" t="s">
        <v>135</v>
      </c>
      <c r="O214" s="3">
        <v>827.5</v>
      </c>
      <c r="P214" s="2" t="s">
        <v>46</v>
      </c>
    </row>
    <row r="215" spans="1:16" x14ac:dyDescent="0.25">
      <c r="A215" s="2" t="s">
        <v>8</v>
      </c>
      <c r="B215" s="2" t="s">
        <v>528</v>
      </c>
      <c r="C215" s="2" t="s">
        <v>528</v>
      </c>
      <c r="D215" s="6" t="s">
        <v>25</v>
      </c>
      <c r="E215" s="3">
        <v>725.73968747105596</v>
      </c>
      <c r="F215" s="3">
        <v>999.17967446513501</v>
      </c>
      <c r="G215" s="3">
        <v>994.19173616473597</v>
      </c>
      <c r="H215" s="3">
        <v>-0.49920333928622102</v>
      </c>
      <c r="I215" s="3">
        <v>36.990129288524798</v>
      </c>
      <c r="J215" s="2" t="s">
        <v>540</v>
      </c>
      <c r="K215" s="2" t="s">
        <v>37</v>
      </c>
      <c r="L215" s="3">
        <v>1302.83</v>
      </c>
      <c r="M215" s="2" t="s">
        <v>541</v>
      </c>
      <c r="N215" s="2" t="s">
        <v>263</v>
      </c>
      <c r="O215" s="3">
        <v>860</v>
      </c>
      <c r="P215" s="2" t="s">
        <v>49</v>
      </c>
    </row>
    <row r="216" spans="1:16" x14ac:dyDescent="0.25">
      <c r="A216" s="2" t="s">
        <v>3</v>
      </c>
      <c r="B216" s="2" t="s">
        <v>542</v>
      </c>
      <c r="C216" s="2" t="s">
        <v>543</v>
      </c>
      <c r="D216" s="7" t="s">
        <v>52</v>
      </c>
      <c r="E216" s="3">
        <v>469.72950450450497</v>
      </c>
      <c r="F216" s="3">
        <v>843.210790052682</v>
      </c>
      <c r="G216" s="3">
        <v>873.77102001760204</v>
      </c>
      <c r="H216" s="3">
        <v>3.6242693197759199</v>
      </c>
      <c r="I216" s="3">
        <v>86.015783900843402</v>
      </c>
      <c r="J216" s="2" t="s">
        <v>544</v>
      </c>
      <c r="K216" s="2" t="s">
        <v>27</v>
      </c>
      <c r="L216" s="3">
        <v>1525</v>
      </c>
      <c r="M216" s="2" t="s">
        <v>545</v>
      </c>
      <c r="N216" s="2" t="s">
        <v>62</v>
      </c>
      <c r="O216" s="3">
        <v>640.53</v>
      </c>
      <c r="P216" s="2" t="s">
        <v>30</v>
      </c>
    </row>
    <row r="217" spans="1:16" x14ac:dyDescent="0.25">
      <c r="A217" s="2" t="s">
        <v>4</v>
      </c>
      <c r="B217" s="2" t="s">
        <v>542</v>
      </c>
      <c r="C217" s="2" t="s">
        <v>543</v>
      </c>
      <c r="D217" s="7" t="s">
        <v>52</v>
      </c>
      <c r="E217" s="3">
        <v>487.94263253199699</v>
      </c>
      <c r="F217" s="3">
        <v>873.77102001760204</v>
      </c>
      <c r="G217" s="3">
        <v>887.45091137505199</v>
      </c>
      <c r="H217" s="3">
        <v>1.56561513761062</v>
      </c>
      <c r="I217" s="3">
        <v>81.876075630029405</v>
      </c>
      <c r="J217" s="2" t="s">
        <v>253</v>
      </c>
      <c r="K217" s="2" t="s">
        <v>27</v>
      </c>
      <c r="L217" s="3">
        <v>1575</v>
      </c>
      <c r="M217" s="2" t="s">
        <v>546</v>
      </c>
      <c r="N217" s="2" t="s">
        <v>62</v>
      </c>
      <c r="O217" s="3">
        <v>640.11</v>
      </c>
      <c r="P217" s="2" t="s">
        <v>35</v>
      </c>
    </row>
    <row r="218" spans="1:16" x14ac:dyDescent="0.25">
      <c r="A218" s="2" t="s">
        <v>5</v>
      </c>
      <c r="B218" s="2" t="s">
        <v>542</v>
      </c>
      <c r="C218" s="2" t="s">
        <v>542</v>
      </c>
      <c r="D218" s="7" t="s">
        <v>52</v>
      </c>
      <c r="E218" s="3"/>
      <c r="F218" s="3"/>
      <c r="G218" s="3">
        <v>837.23255124624598</v>
      </c>
      <c r="H218" s="3"/>
      <c r="I218" s="3"/>
      <c r="J218" s="2" t="s">
        <v>547</v>
      </c>
      <c r="K218" s="2" t="s">
        <v>156</v>
      </c>
      <c r="L218" s="3">
        <v>1200</v>
      </c>
      <c r="M218" s="2" t="s">
        <v>548</v>
      </c>
      <c r="N218" s="2" t="s">
        <v>118</v>
      </c>
      <c r="O218" s="3">
        <v>675</v>
      </c>
      <c r="P218" s="2" t="s">
        <v>40</v>
      </c>
    </row>
    <row r="219" spans="1:16" x14ac:dyDescent="0.25">
      <c r="A219" s="2" t="s">
        <v>6</v>
      </c>
      <c r="B219" s="2" t="s">
        <v>542</v>
      </c>
      <c r="C219" s="2" t="s">
        <v>542</v>
      </c>
      <c r="D219" s="7" t="s">
        <v>52</v>
      </c>
      <c r="E219" s="3"/>
      <c r="F219" s="3">
        <v>837.23255124624598</v>
      </c>
      <c r="G219" s="3">
        <v>827.31484440540498</v>
      </c>
      <c r="H219" s="3">
        <v>-1.18458208846251</v>
      </c>
      <c r="I219" s="3"/>
      <c r="J219" s="2" t="s">
        <v>549</v>
      </c>
      <c r="K219" s="2" t="s">
        <v>156</v>
      </c>
      <c r="L219" s="3">
        <v>1057.1400000000001</v>
      </c>
      <c r="M219" s="2" t="s">
        <v>550</v>
      </c>
      <c r="N219" s="2" t="s">
        <v>62</v>
      </c>
      <c r="O219" s="3">
        <v>650</v>
      </c>
      <c r="P219" s="2" t="s">
        <v>42</v>
      </c>
    </row>
    <row r="220" spans="1:16" x14ac:dyDescent="0.25">
      <c r="A220" s="2" t="s">
        <v>7</v>
      </c>
      <c r="B220" s="2" t="s">
        <v>542</v>
      </c>
      <c r="C220" s="2" t="s">
        <v>542</v>
      </c>
      <c r="D220" s="7" t="s">
        <v>52</v>
      </c>
      <c r="E220" s="3"/>
      <c r="F220" s="3">
        <v>827.31484440540498</v>
      </c>
      <c r="G220" s="3">
        <v>872.13527080810798</v>
      </c>
      <c r="H220" s="3">
        <v>5.4175779276528502</v>
      </c>
      <c r="I220" s="3"/>
      <c r="J220" s="2" t="s">
        <v>551</v>
      </c>
      <c r="K220" s="2" t="s">
        <v>141</v>
      </c>
      <c r="L220" s="3">
        <v>1073.3</v>
      </c>
      <c r="M220" s="2" t="s">
        <v>552</v>
      </c>
      <c r="N220" s="2" t="s">
        <v>62</v>
      </c>
      <c r="O220" s="3">
        <v>701</v>
      </c>
      <c r="P220" s="2" t="s">
        <v>46</v>
      </c>
    </row>
    <row r="221" spans="1:16" x14ac:dyDescent="0.25">
      <c r="A221" s="2" t="s">
        <v>8</v>
      </c>
      <c r="B221" s="2" t="s">
        <v>542</v>
      </c>
      <c r="C221" s="2" t="s">
        <v>542</v>
      </c>
      <c r="D221" s="7" t="s">
        <v>52</v>
      </c>
      <c r="E221" s="3"/>
      <c r="F221" s="3">
        <v>872.13527080810798</v>
      </c>
      <c r="G221" s="3">
        <v>888.91036973350299</v>
      </c>
      <c r="H221" s="3">
        <v>1.9234514973636001</v>
      </c>
      <c r="I221" s="3"/>
      <c r="J221" s="2" t="s">
        <v>553</v>
      </c>
      <c r="K221" s="2" t="s">
        <v>29</v>
      </c>
      <c r="L221" s="3">
        <v>1184.25</v>
      </c>
      <c r="M221" s="2" t="s">
        <v>554</v>
      </c>
      <c r="N221" s="2" t="s">
        <v>135</v>
      </c>
      <c r="O221" s="3">
        <v>750</v>
      </c>
      <c r="P221" s="2" t="s">
        <v>49</v>
      </c>
    </row>
    <row r="222" spans="1:16" x14ac:dyDescent="0.25">
      <c r="A222" s="2" t="s">
        <v>3</v>
      </c>
      <c r="B222" s="2" t="s">
        <v>555</v>
      </c>
      <c r="C222" s="2" t="s">
        <v>556</v>
      </c>
      <c r="D222" s="6" t="s">
        <v>25</v>
      </c>
      <c r="E222" s="3">
        <v>2418.1677542453199</v>
      </c>
      <c r="F222" s="3">
        <v>4509.3840576084403</v>
      </c>
      <c r="G222" s="3">
        <v>4626.8186758829997</v>
      </c>
      <c r="H222" s="3">
        <v>2.6042274681930802</v>
      </c>
      <c r="I222" s="3">
        <v>91.335719689429993</v>
      </c>
      <c r="J222" s="2" t="s">
        <v>557</v>
      </c>
      <c r="K222" s="2" t="s">
        <v>80</v>
      </c>
      <c r="L222" s="3">
        <v>5661.92</v>
      </c>
      <c r="M222" s="2" t="s">
        <v>558</v>
      </c>
      <c r="N222" s="2" t="s">
        <v>34</v>
      </c>
      <c r="O222" s="3">
        <v>3250</v>
      </c>
      <c r="P222" s="2" t="s">
        <v>30</v>
      </c>
    </row>
    <row r="223" spans="1:16" x14ac:dyDescent="0.25">
      <c r="A223" s="2" t="s">
        <v>4</v>
      </c>
      <c r="B223" s="2" t="s">
        <v>555</v>
      </c>
      <c r="C223" s="2" t="s">
        <v>556</v>
      </c>
      <c r="D223" s="6" t="s">
        <v>25</v>
      </c>
      <c r="E223" s="3">
        <v>2512.1637998229799</v>
      </c>
      <c r="F223" s="3">
        <v>4626.8186758829997</v>
      </c>
      <c r="G223" s="3">
        <v>4725.1654426294299</v>
      </c>
      <c r="H223" s="3">
        <v>2.12558074209938</v>
      </c>
      <c r="I223" s="3">
        <v>88.091454982449093</v>
      </c>
      <c r="J223" s="2" t="s">
        <v>559</v>
      </c>
      <c r="K223" s="2" t="s">
        <v>80</v>
      </c>
      <c r="L223" s="3">
        <v>5862.69</v>
      </c>
      <c r="M223" s="2" t="s">
        <v>560</v>
      </c>
      <c r="N223" s="2" t="s">
        <v>34</v>
      </c>
      <c r="O223" s="3">
        <v>3350</v>
      </c>
      <c r="P223" s="2" t="s">
        <v>35</v>
      </c>
    </row>
    <row r="224" spans="1:16" x14ac:dyDescent="0.25">
      <c r="A224" s="2" t="s">
        <v>5</v>
      </c>
      <c r="B224" s="2" t="s">
        <v>555</v>
      </c>
      <c r="C224" s="2" t="s">
        <v>555</v>
      </c>
      <c r="D224" s="6" t="s">
        <v>25</v>
      </c>
      <c r="E224" s="3">
        <v>2628.5079693409898</v>
      </c>
      <c r="F224" s="3">
        <v>4725.1654426294299</v>
      </c>
      <c r="G224" s="3">
        <v>5467.23134462281</v>
      </c>
      <c r="H224" s="3">
        <v>15.7045485709055</v>
      </c>
      <c r="I224" s="3">
        <v>107.997518302885</v>
      </c>
      <c r="J224" s="2" t="s">
        <v>561</v>
      </c>
      <c r="K224" s="2" t="s">
        <v>318</v>
      </c>
      <c r="L224" s="3">
        <v>8343.26</v>
      </c>
      <c r="M224" s="2" t="s">
        <v>562</v>
      </c>
      <c r="N224" s="2" t="s">
        <v>34</v>
      </c>
      <c r="O224" s="3">
        <v>4000</v>
      </c>
      <c r="P224" s="2" t="s">
        <v>40</v>
      </c>
    </row>
    <row r="225" spans="1:16" x14ac:dyDescent="0.25">
      <c r="A225" s="2" t="s">
        <v>6</v>
      </c>
      <c r="B225" s="2" t="s">
        <v>555</v>
      </c>
      <c r="C225" s="2" t="s">
        <v>555</v>
      </c>
      <c r="D225" s="6" t="s">
        <v>25</v>
      </c>
      <c r="E225" s="3">
        <v>2883.0737845792401</v>
      </c>
      <c r="F225" s="3">
        <v>5467.23134462281</v>
      </c>
      <c r="G225" s="3">
        <v>5564.28907556592</v>
      </c>
      <c r="H225" s="3">
        <v>1.7752629224034699</v>
      </c>
      <c r="I225" s="3">
        <v>92.998497136207703</v>
      </c>
      <c r="J225" s="2" t="s">
        <v>561</v>
      </c>
      <c r="K225" s="2" t="s">
        <v>318</v>
      </c>
      <c r="L225" s="3">
        <v>8343.26</v>
      </c>
      <c r="M225" s="2" t="s">
        <v>563</v>
      </c>
      <c r="N225" s="2" t="s">
        <v>74</v>
      </c>
      <c r="O225" s="3">
        <v>4200</v>
      </c>
      <c r="P225" s="2" t="s">
        <v>42</v>
      </c>
    </row>
    <row r="226" spans="1:16" x14ac:dyDescent="0.25">
      <c r="A226" s="2" t="s">
        <v>7</v>
      </c>
      <c r="B226" s="2" t="s">
        <v>555</v>
      </c>
      <c r="C226" s="2" t="s">
        <v>555</v>
      </c>
      <c r="D226" s="6" t="s">
        <v>25</v>
      </c>
      <c r="E226" s="3">
        <v>3124.0443485127098</v>
      </c>
      <c r="F226" s="3">
        <v>5564.28907556592</v>
      </c>
      <c r="G226" s="3">
        <v>5860.0071237336497</v>
      </c>
      <c r="H226" s="3">
        <v>5.3145701841103898</v>
      </c>
      <c r="I226" s="3">
        <v>87.577590776631396</v>
      </c>
      <c r="J226" s="2" t="s">
        <v>564</v>
      </c>
      <c r="K226" s="2" t="s">
        <v>318</v>
      </c>
      <c r="L226" s="3">
        <v>8927.2900000000009</v>
      </c>
      <c r="M226" s="2" t="s">
        <v>565</v>
      </c>
      <c r="N226" s="2" t="s">
        <v>263</v>
      </c>
      <c r="O226" s="3">
        <v>4485.3500000000004</v>
      </c>
      <c r="P226" s="2" t="s">
        <v>46</v>
      </c>
    </row>
    <row r="227" spans="1:16" x14ac:dyDescent="0.25">
      <c r="A227" s="2" t="s">
        <v>8</v>
      </c>
      <c r="B227" s="2" t="s">
        <v>555</v>
      </c>
      <c r="C227" s="2" t="s">
        <v>555</v>
      </c>
      <c r="D227" s="6" t="s">
        <v>25</v>
      </c>
      <c r="E227" s="3">
        <v>3395.0493196911202</v>
      </c>
      <c r="F227" s="3">
        <v>5860.0071237336497</v>
      </c>
      <c r="G227" s="3">
        <v>5939.2872886936802</v>
      </c>
      <c r="H227" s="3">
        <v>1.3529021942469599</v>
      </c>
      <c r="I227" s="3">
        <v>74.939646804130206</v>
      </c>
      <c r="J227" s="2" t="s">
        <v>564</v>
      </c>
      <c r="K227" s="2" t="s">
        <v>318</v>
      </c>
      <c r="L227" s="3">
        <v>8927.2900000000009</v>
      </c>
      <c r="M227" s="2" t="s">
        <v>566</v>
      </c>
      <c r="N227" s="2" t="s">
        <v>263</v>
      </c>
      <c r="O227" s="3">
        <v>4490</v>
      </c>
      <c r="P227" s="2" t="s">
        <v>49</v>
      </c>
    </row>
    <row r="228" spans="1:16" x14ac:dyDescent="0.25">
      <c r="A228" s="2" t="s">
        <v>3</v>
      </c>
      <c r="B228" s="2" t="s">
        <v>567</v>
      </c>
      <c r="C228" s="2" t="s">
        <v>568</v>
      </c>
      <c r="D228" s="6" t="s">
        <v>25</v>
      </c>
      <c r="E228" s="3">
        <v>758.64755468786996</v>
      </c>
      <c r="F228" s="3">
        <v>1465.9858796281101</v>
      </c>
      <c r="G228" s="3">
        <v>1472.17604013204</v>
      </c>
      <c r="H228" s="3">
        <v>0.42225239614847099</v>
      </c>
      <c r="I228" s="3">
        <v>94.052696938795606</v>
      </c>
      <c r="J228" s="2" t="s">
        <v>569</v>
      </c>
      <c r="K228" s="2" t="s">
        <v>37</v>
      </c>
      <c r="L228" s="3">
        <v>2352.2800000000002</v>
      </c>
      <c r="M228" s="2" t="s">
        <v>570</v>
      </c>
      <c r="N228" s="2" t="s">
        <v>29</v>
      </c>
      <c r="O228" s="3">
        <v>660.84</v>
      </c>
      <c r="P228" s="2" t="s">
        <v>30</v>
      </c>
    </row>
    <row r="229" spans="1:16" x14ac:dyDescent="0.25">
      <c r="A229" s="2" t="s">
        <v>4</v>
      </c>
      <c r="B229" s="2" t="s">
        <v>567</v>
      </c>
      <c r="C229" s="2" t="s">
        <v>568</v>
      </c>
      <c r="D229" s="6" t="s">
        <v>25</v>
      </c>
      <c r="E229" s="3">
        <v>814.15970058142102</v>
      </c>
      <c r="F229" s="3">
        <v>1472.17604013204</v>
      </c>
      <c r="G229" s="3">
        <v>1453.4956678575099</v>
      </c>
      <c r="H229" s="3">
        <v>-1.2688952791846899</v>
      </c>
      <c r="I229" s="3">
        <v>78.527095706102799</v>
      </c>
      <c r="J229" s="2" t="s">
        <v>571</v>
      </c>
      <c r="K229" s="2" t="s">
        <v>80</v>
      </c>
      <c r="L229" s="3">
        <v>2421.37</v>
      </c>
      <c r="M229" s="2" t="s">
        <v>572</v>
      </c>
      <c r="N229" s="2" t="s">
        <v>67</v>
      </c>
      <c r="O229" s="3">
        <v>694.31</v>
      </c>
      <c r="P229" s="2" t="s">
        <v>35</v>
      </c>
    </row>
    <row r="230" spans="1:16" x14ac:dyDescent="0.25">
      <c r="A230" s="2" t="s">
        <v>5</v>
      </c>
      <c r="B230" s="2" t="s">
        <v>567</v>
      </c>
      <c r="C230" s="2" t="s">
        <v>573</v>
      </c>
      <c r="D230" s="6" t="s">
        <v>25</v>
      </c>
      <c r="E230" s="3">
        <v>845.25823994735697</v>
      </c>
      <c r="F230" s="3">
        <v>1453.4956678575099</v>
      </c>
      <c r="G230" s="3">
        <v>1081.43913597703</v>
      </c>
      <c r="H230" s="3">
        <v>-25.5973609077835</v>
      </c>
      <c r="I230" s="3">
        <v>27.9418626009939</v>
      </c>
      <c r="J230" s="2" t="s">
        <v>574</v>
      </c>
      <c r="K230" s="2" t="s">
        <v>80</v>
      </c>
      <c r="L230" s="3">
        <v>1778.11</v>
      </c>
      <c r="M230" s="2" t="s">
        <v>575</v>
      </c>
      <c r="N230" s="2" t="s">
        <v>189</v>
      </c>
      <c r="O230" s="3">
        <v>512.96</v>
      </c>
      <c r="P230" s="2" t="s">
        <v>40</v>
      </c>
    </row>
    <row r="231" spans="1:16" x14ac:dyDescent="0.25">
      <c r="A231" s="2" t="s">
        <v>6</v>
      </c>
      <c r="B231" s="2" t="s">
        <v>567</v>
      </c>
      <c r="C231" s="2" t="s">
        <v>573</v>
      </c>
      <c r="D231" s="6" t="s">
        <v>25</v>
      </c>
      <c r="E231" s="3">
        <v>937.84840734474005</v>
      </c>
      <c r="F231" s="3">
        <v>1081.43913597703</v>
      </c>
      <c r="G231" s="3">
        <v>1111.1395879256399</v>
      </c>
      <c r="H231" s="3">
        <v>2.7463822013231902</v>
      </c>
      <c r="I231" s="3">
        <v>18.477525709248599</v>
      </c>
      <c r="J231" s="2" t="s">
        <v>576</v>
      </c>
      <c r="K231" s="2" t="s">
        <v>80</v>
      </c>
      <c r="L231" s="3">
        <v>1787.31</v>
      </c>
      <c r="M231" s="2" t="s">
        <v>577</v>
      </c>
      <c r="N231" s="2" t="s">
        <v>189</v>
      </c>
      <c r="O231" s="3">
        <v>624.32000000000005</v>
      </c>
      <c r="P231" s="2" t="s">
        <v>42</v>
      </c>
    </row>
    <row r="232" spans="1:16" x14ac:dyDescent="0.25">
      <c r="A232" s="2" t="s">
        <v>7</v>
      </c>
      <c r="B232" s="2" t="s">
        <v>567</v>
      </c>
      <c r="C232" s="2" t="s">
        <v>573</v>
      </c>
      <c r="D232" s="6" t="s">
        <v>25</v>
      </c>
      <c r="E232" s="3">
        <v>959.68352354376702</v>
      </c>
      <c r="F232" s="3">
        <v>1111.1395879256399</v>
      </c>
      <c r="G232" s="3">
        <v>1157.34571869108</v>
      </c>
      <c r="H232" s="3">
        <v>4.1584451915439198</v>
      </c>
      <c r="I232" s="3">
        <v>20.596601931584299</v>
      </c>
      <c r="J232" s="2" t="s">
        <v>578</v>
      </c>
      <c r="K232" s="2" t="s">
        <v>80</v>
      </c>
      <c r="L232" s="3">
        <v>1882.36</v>
      </c>
      <c r="M232" s="2" t="s">
        <v>579</v>
      </c>
      <c r="N232" s="2" t="s">
        <v>74</v>
      </c>
      <c r="O232" s="3">
        <v>650</v>
      </c>
      <c r="P232" s="2" t="s">
        <v>46</v>
      </c>
    </row>
    <row r="233" spans="1:16" x14ac:dyDescent="0.25">
      <c r="A233" s="2" t="s">
        <v>8</v>
      </c>
      <c r="B233" s="2" t="s">
        <v>567</v>
      </c>
      <c r="C233" s="2" t="s">
        <v>573</v>
      </c>
      <c r="D233" s="6" t="s">
        <v>25</v>
      </c>
      <c r="E233" s="3">
        <v>1123.41349822947</v>
      </c>
      <c r="F233" s="3">
        <v>1157.34571869108</v>
      </c>
      <c r="G233" s="3">
        <v>1283.5712136417701</v>
      </c>
      <c r="H233" s="3">
        <v>10.906464067922901</v>
      </c>
      <c r="I233" s="3">
        <v>14.256346008367499</v>
      </c>
      <c r="J233" s="2" t="s">
        <v>580</v>
      </c>
      <c r="K233" s="2" t="s">
        <v>116</v>
      </c>
      <c r="L233" s="3">
        <v>1929.19</v>
      </c>
      <c r="M233" s="2" t="s">
        <v>581</v>
      </c>
      <c r="N233" s="2" t="s">
        <v>45</v>
      </c>
      <c r="O233" s="3">
        <v>848.78</v>
      </c>
      <c r="P233" s="2" t="s">
        <v>49</v>
      </c>
    </row>
    <row r="234" spans="1:16" x14ac:dyDescent="0.25">
      <c r="A234" s="2" t="s">
        <v>3</v>
      </c>
      <c r="B234" s="2" t="s">
        <v>582</v>
      </c>
      <c r="C234" s="2" t="s">
        <v>583</v>
      </c>
      <c r="D234" s="6" t="s">
        <v>25</v>
      </c>
      <c r="E234" s="3">
        <v>1610.1836994748801</v>
      </c>
      <c r="F234" s="3">
        <v>2719.1648740973101</v>
      </c>
      <c r="G234" s="3">
        <v>3147.0488937671198</v>
      </c>
      <c r="H234" s="3">
        <v>15.735861541380499</v>
      </c>
      <c r="I234" s="3">
        <v>95.446575120183894</v>
      </c>
      <c r="J234" s="2" t="s">
        <v>584</v>
      </c>
      <c r="K234" s="2" t="s">
        <v>152</v>
      </c>
      <c r="L234" s="3">
        <v>4000</v>
      </c>
      <c r="M234" s="2" t="s">
        <v>585</v>
      </c>
      <c r="N234" s="2" t="s">
        <v>32</v>
      </c>
      <c r="O234" s="3">
        <v>2200</v>
      </c>
      <c r="P234" s="2" t="s">
        <v>30</v>
      </c>
    </row>
    <row r="235" spans="1:16" x14ac:dyDescent="0.25">
      <c r="A235" s="2" t="s">
        <v>4</v>
      </c>
      <c r="B235" s="2" t="s">
        <v>582</v>
      </c>
      <c r="C235" s="2" t="s">
        <v>583</v>
      </c>
      <c r="D235" s="6" t="s">
        <v>25</v>
      </c>
      <c r="E235" s="3">
        <v>1709.5508213953501</v>
      </c>
      <c r="F235" s="3">
        <v>3147.0488937671198</v>
      </c>
      <c r="G235" s="3">
        <v>3362.8340562642102</v>
      </c>
      <c r="H235" s="3">
        <v>6.8567464243870697</v>
      </c>
      <c r="I235" s="3">
        <v>96.708633295817606</v>
      </c>
      <c r="J235" s="2" t="s">
        <v>300</v>
      </c>
      <c r="K235" s="2" t="s">
        <v>152</v>
      </c>
      <c r="L235" s="3">
        <v>4100</v>
      </c>
      <c r="M235" s="2" t="s">
        <v>586</v>
      </c>
      <c r="N235" s="2" t="s">
        <v>91</v>
      </c>
      <c r="O235" s="3">
        <v>2301.44</v>
      </c>
      <c r="P235" s="2" t="s">
        <v>35</v>
      </c>
    </row>
    <row r="236" spans="1:16" x14ac:dyDescent="0.25">
      <c r="A236" s="2" t="s">
        <v>5</v>
      </c>
      <c r="B236" s="2" t="s">
        <v>582</v>
      </c>
      <c r="C236" s="2" t="s">
        <v>582</v>
      </c>
      <c r="D236" s="6" t="s">
        <v>25</v>
      </c>
      <c r="E236" s="3">
        <v>1782.77151199184</v>
      </c>
      <c r="F236" s="3">
        <v>3362.8340562642102</v>
      </c>
      <c r="G236" s="3">
        <v>2975.9619234909901</v>
      </c>
      <c r="H236" s="3">
        <v>-11.5043480082689</v>
      </c>
      <c r="I236" s="3">
        <v>66.928958841508404</v>
      </c>
      <c r="J236" s="2" t="s">
        <v>587</v>
      </c>
      <c r="K236" s="2" t="s">
        <v>152</v>
      </c>
      <c r="L236" s="3">
        <v>4616.67</v>
      </c>
      <c r="M236" s="2" t="s">
        <v>369</v>
      </c>
      <c r="N236" s="2" t="s">
        <v>39</v>
      </c>
      <c r="O236" s="3">
        <v>1800</v>
      </c>
      <c r="P236" s="2" t="s">
        <v>40</v>
      </c>
    </row>
    <row r="237" spans="1:16" x14ac:dyDescent="0.25">
      <c r="A237" s="2" t="s">
        <v>6</v>
      </c>
      <c r="B237" s="2" t="s">
        <v>582</v>
      </c>
      <c r="C237" s="2" t="s">
        <v>582</v>
      </c>
      <c r="D237" s="6" t="s">
        <v>25</v>
      </c>
      <c r="E237" s="3">
        <v>1878.8122969993999</v>
      </c>
      <c r="F237" s="3">
        <v>2975.9619234909901</v>
      </c>
      <c r="G237" s="3">
        <v>3090.5103853288301</v>
      </c>
      <c r="H237" s="3">
        <v>3.8491239062449201</v>
      </c>
      <c r="I237" s="3">
        <v>64.492769728226904</v>
      </c>
      <c r="J237" s="2" t="s">
        <v>588</v>
      </c>
      <c r="K237" s="2" t="s">
        <v>152</v>
      </c>
      <c r="L237" s="3">
        <v>4648.67</v>
      </c>
      <c r="M237" s="2" t="s">
        <v>195</v>
      </c>
      <c r="N237" s="2" t="s">
        <v>39</v>
      </c>
      <c r="O237" s="3">
        <v>2200</v>
      </c>
      <c r="P237" s="2" t="s">
        <v>42</v>
      </c>
    </row>
    <row r="238" spans="1:16" x14ac:dyDescent="0.25">
      <c r="A238" s="2" t="s">
        <v>7</v>
      </c>
      <c r="B238" s="2" t="s">
        <v>582</v>
      </c>
      <c r="C238" s="2" t="s">
        <v>582</v>
      </c>
      <c r="D238" s="6" t="s">
        <v>25</v>
      </c>
      <c r="E238" s="3">
        <v>2003.6460001141299</v>
      </c>
      <c r="F238" s="3">
        <v>3090.5103853288301</v>
      </c>
      <c r="G238" s="3">
        <v>3337.0082982445902</v>
      </c>
      <c r="H238" s="3">
        <v>7.9759613197202803</v>
      </c>
      <c r="I238" s="3">
        <v>66.546800086168901</v>
      </c>
      <c r="J238" s="2" t="s">
        <v>589</v>
      </c>
      <c r="K238" s="2" t="s">
        <v>152</v>
      </c>
      <c r="L238" s="3">
        <v>4850</v>
      </c>
      <c r="M238" s="2" t="s">
        <v>590</v>
      </c>
      <c r="N238" s="2" t="s">
        <v>67</v>
      </c>
      <c r="O238" s="3">
        <v>2517.5</v>
      </c>
      <c r="P238" s="2" t="s">
        <v>46</v>
      </c>
    </row>
    <row r="239" spans="1:16" x14ac:dyDescent="0.25">
      <c r="A239" s="2" t="s">
        <v>8</v>
      </c>
      <c r="B239" s="2" t="s">
        <v>582</v>
      </c>
      <c r="C239" s="2" t="s">
        <v>582</v>
      </c>
      <c r="D239" s="6" t="s">
        <v>25</v>
      </c>
      <c r="E239" s="3">
        <v>2078.20848341791</v>
      </c>
      <c r="F239" s="3">
        <v>3337.0082982445902</v>
      </c>
      <c r="G239" s="3">
        <v>3374.8094323292298</v>
      </c>
      <c r="H239" s="3">
        <v>1.1327851388479</v>
      </c>
      <c r="I239" s="3">
        <v>62.390321243366301</v>
      </c>
      <c r="J239" s="2" t="s">
        <v>591</v>
      </c>
      <c r="K239" s="2" t="s">
        <v>152</v>
      </c>
      <c r="L239" s="3">
        <v>4800</v>
      </c>
      <c r="M239" s="2" t="s">
        <v>592</v>
      </c>
      <c r="N239" s="2" t="s">
        <v>39</v>
      </c>
      <c r="O239" s="3">
        <v>2600</v>
      </c>
      <c r="P239" s="2" t="s">
        <v>49</v>
      </c>
    </row>
    <row r="240" spans="1:16" x14ac:dyDescent="0.25">
      <c r="A240" s="2" t="s">
        <v>5</v>
      </c>
      <c r="B240" s="2" t="s">
        <v>593</v>
      </c>
      <c r="C240" s="2" t="s">
        <v>593</v>
      </c>
      <c r="D240" s="9" t="s">
        <v>154</v>
      </c>
      <c r="E240" s="3"/>
      <c r="F240" s="3"/>
      <c r="G240" s="3">
        <v>1850.8432699560799</v>
      </c>
      <c r="H240" s="3"/>
      <c r="I240" s="3"/>
      <c r="J240" s="2" t="s">
        <v>594</v>
      </c>
      <c r="K240" s="2" t="s">
        <v>107</v>
      </c>
      <c r="L240" s="3">
        <v>2500</v>
      </c>
      <c r="M240" s="2" t="s">
        <v>595</v>
      </c>
      <c r="N240" s="2" t="s">
        <v>160</v>
      </c>
      <c r="O240" s="3">
        <v>1200</v>
      </c>
      <c r="P240" s="2" t="s">
        <v>40</v>
      </c>
    </row>
    <row r="241" spans="1:16" x14ac:dyDescent="0.25">
      <c r="A241" s="2" t="s">
        <v>6</v>
      </c>
      <c r="B241" s="2" t="s">
        <v>593</v>
      </c>
      <c r="C241" s="2" t="s">
        <v>593</v>
      </c>
      <c r="D241" s="9" t="s">
        <v>154</v>
      </c>
      <c r="E241" s="3"/>
      <c r="F241" s="3">
        <v>1850.8432699560799</v>
      </c>
      <c r="G241" s="3">
        <v>1926.20411932915</v>
      </c>
      <c r="H241" s="3">
        <v>4.0717034551962703</v>
      </c>
      <c r="I241" s="3"/>
      <c r="J241" s="2" t="s">
        <v>596</v>
      </c>
      <c r="K241" s="2" t="s">
        <v>105</v>
      </c>
      <c r="L241" s="3">
        <v>2795</v>
      </c>
      <c r="M241" s="2" t="s">
        <v>597</v>
      </c>
      <c r="N241" s="2" t="s">
        <v>160</v>
      </c>
      <c r="O241" s="3">
        <v>1100</v>
      </c>
      <c r="P241" s="2" t="s">
        <v>42</v>
      </c>
    </row>
    <row r="242" spans="1:16" x14ac:dyDescent="0.25">
      <c r="A242" s="2" t="s">
        <v>7</v>
      </c>
      <c r="B242" s="2" t="s">
        <v>593</v>
      </c>
      <c r="C242" s="2" t="s">
        <v>593</v>
      </c>
      <c r="D242" s="9" t="s">
        <v>154</v>
      </c>
      <c r="E242" s="3"/>
      <c r="F242" s="3">
        <v>1926.20411932915</v>
      </c>
      <c r="G242" s="3">
        <v>2040.81873295581</v>
      </c>
      <c r="H242" s="3">
        <v>5.9502839017174303</v>
      </c>
      <c r="I242" s="3"/>
      <c r="J242" s="2" t="s">
        <v>598</v>
      </c>
      <c r="K242" s="2" t="s">
        <v>105</v>
      </c>
      <c r="L242" s="3">
        <v>3057.65</v>
      </c>
      <c r="M242" s="2" t="s">
        <v>599</v>
      </c>
      <c r="N242" s="2" t="s">
        <v>160</v>
      </c>
      <c r="O242" s="3">
        <v>1300</v>
      </c>
      <c r="P242" s="2" t="s">
        <v>46</v>
      </c>
    </row>
    <row r="243" spans="1:16" x14ac:dyDescent="0.25">
      <c r="A243" s="2" t="s">
        <v>8</v>
      </c>
      <c r="B243" s="2" t="s">
        <v>593</v>
      </c>
      <c r="C243" s="2" t="s">
        <v>593</v>
      </c>
      <c r="D243" s="9" t="s">
        <v>154</v>
      </c>
      <c r="E243" s="3"/>
      <c r="F243" s="3">
        <v>2040.81873295581</v>
      </c>
      <c r="G243" s="3">
        <v>2057.3488049013399</v>
      </c>
      <c r="H243" s="3">
        <v>0.80997257025290403</v>
      </c>
      <c r="I243" s="3"/>
      <c r="J243" s="2" t="s">
        <v>600</v>
      </c>
      <c r="K243" s="2" t="s">
        <v>105</v>
      </c>
      <c r="L243" s="3">
        <v>3057.15</v>
      </c>
      <c r="M243" s="2" t="s">
        <v>601</v>
      </c>
      <c r="N243" s="2" t="s">
        <v>185</v>
      </c>
      <c r="O243" s="3">
        <v>1384.6</v>
      </c>
      <c r="P243" s="2" t="s">
        <v>49</v>
      </c>
    </row>
    <row r="244" spans="1:16" x14ac:dyDescent="0.25">
      <c r="A244" s="2" t="s">
        <v>3</v>
      </c>
      <c r="B244" s="2" t="s">
        <v>602</v>
      </c>
      <c r="C244" s="2" t="s">
        <v>603</v>
      </c>
      <c r="D244" s="6" t="s">
        <v>25</v>
      </c>
      <c r="E244" s="3">
        <v>1884.62162805663</v>
      </c>
      <c r="F244" s="3">
        <v>3747.8654995332199</v>
      </c>
      <c r="G244" s="3">
        <v>3819.3696006646201</v>
      </c>
      <c r="H244" s="3">
        <v>1.90786198545033</v>
      </c>
      <c r="I244" s="3">
        <v>102.659756409728</v>
      </c>
      <c r="J244" s="2" t="s">
        <v>604</v>
      </c>
      <c r="K244" s="2" t="s">
        <v>59</v>
      </c>
      <c r="L244" s="3">
        <v>5462.63</v>
      </c>
      <c r="M244" s="2" t="s">
        <v>605</v>
      </c>
      <c r="N244" s="2" t="s">
        <v>173</v>
      </c>
      <c r="O244" s="3">
        <v>2667.9</v>
      </c>
      <c r="P244" s="2" t="s">
        <v>30</v>
      </c>
    </row>
    <row r="245" spans="1:16" x14ac:dyDescent="0.25">
      <c r="A245" s="2" t="s">
        <v>4</v>
      </c>
      <c r="B245" s="2" t="s">
        <v>602</v>
      </c>
      <c r="C245" s="2" t="s">
        <v>603</v>
      </c>
      <c r="D245" s="6" t="s">
        <v>25</v>
      </c>
      <c r="E245" s="3">
        <v>1976.59186959985</v>
      </c>
      <c r="F245" s="3">
        <v>3819.3696006646201</v>
      </c>
      <c r="G245" s="3">
        <v>3871.4754362969402</v>
      </c>
      <c r="H245" s="3">
        <v>1.3642522478907</v>
      </c>
      <c r="I245" s="3">
        <v>95.866202620811904</v>
      </c>
      <c r="J245" s="2" t="s">
        <v>606</v>
      </c>
      <c r="K245" s="2" t="s">
        <v>59</v>
      </c>
      <c r="L245" s="3">
        <v>5463.63</v>
      </c>
      <c r="M245" s="2" t="s">
        <v>607</v>
      </c>
      <c r="N245" s="2" t="s">
        <v>173</v>
      </c>
      <c r="O245" s="3">
        <v>2739.94</v>
      </c>
      <c r="P245" s="2" t="s">
        <v>35</v>
      </c>
    </row>
    <row r="246" spans="1:16" x14ac:dyDescent="0.25">
      <c r="A246" s="2" t="s">
        <v>5</v>
      </c>
      <c r="B246" s="2" t="s">
        <v>602</v>
      </c>
      <c r="C246" s="2" t="s">
        <v>602</v>
      </c>
      <c r="D246" s="6" t="s">
        <v>25</v>
      </c>
      <c r="E246" s="3">
        <v>2042.9839571345101</v>
      </c>
      <c r="F246" s="3">
        <v>3871.4754362969402</v>
      </c>
      <c r="G246" s="3">
        <v>3847.3656922479099</v>
      </c>
      <c r="H246" s="3">
        <v>-0.62275337776870299</v>
      </c>
      <c r="I246" s="3">
        <v>88.320895952811696</v>
      </c>
      <c r="J246" s="2" t="s">
        <v>608</v>
      </c>
      <c r="K246" s="2" t="s">
        <v>29</v>
      </c>
      <c r="L246" s="3">
        <v>5500</v>
      </c>
      <c r="M246" s="2" t="s">
        <v>609</v>
      </c>
      <c r="N246" s="2" t="s">
        <v>32</v>
      </c>
      <c r="O246" s="3">
        <v>2700</v>
      </c>
      <c r="P246" s="2" t="s">
        <v>40</v>
      </c>
    </row>
    <row r="247" spans="1:16" x14ac:dyDescent="0.25">
      <c r="A247" s="2" t="s">
        <v>6</v>
      </c>
      <c r="B247" s="2" t="s">
        <v>602</v>
      </c>
      <c r="C247" s="2" t="s">
        <v>602</v>
      </c>
      <c r="D247" s="6" t="s">
        <v>25</v>
      </c>
      <c r="E247" s="3">
        <v>2277.5858108989501</v>
      </c>
      <c r="F247" s="3">
        <v>3847.3656922479099</v>
      </c>
      <c r="G247" s="3">
        <v>3890.8029976448402</v>
      </c>
      <c r="H247" s="3">
        <v>1.1290142105402099</v>
      </c>
      <c r="I247" s="3">
        <v>70.830138606683704</v>
      </c>
      <c r="J247" s="2" t="s">
        <v>610</v>
      </c>
      <c r="K247" s="2" t="s">
        <v>116</v>
      </c>
      <c r="L247" s="3">
        <v>5616.67</v>
      </c>
      <c r="M247" s="2" t="s">
        <v>611</v>
      </c>
      <c r="N247" s="2" t="s">
        <v>32</v>
      </c>
      <c r="O247" s="3">
        <v>2800</v>
      </c>
      <c r="P247" s="2" t="s">
        <v>42</v>
      </c>
    </row>
    <row r="248" spans="1:16" x14ac:dyDescent="0.25">
      <c r="A248" s="2" t="s">
        <v>7</v>
      </c>
      <c r="B248" s="2" t="s">
        <v>602</v>
      </c>
      <c r="C248" s="2" t="s">
        <v>602</v>
      </c>
      <c r="D248" s="6" t="s">
        <v>25</v>
      </c>
      <c r="E248" s="3">
        <v>2477.6305328736098</v>
      </c>
      <c r="F248" s="3">
        <v>3890.8029976448402</v>
      </c>
      <c r="G248" s="3">
        <v>4114.2425360704501</v>
      </c>
      <c r="H248" s="3">
        <v>5.7427615471884801</v>
      </c>
      <c r="I248" s="3">
        <v>66.055530939015895</v>
      </c>
      <c r="J248" s="2" t="s">
        <v>612</v>
      </c>
      <c r="K248" s="2" t="s">
        <v>116</v>
      </c>
      <c r="L248" s="3">
        <v>6008.67</v>
      </c>
      <c r="M248" s="2" t="s">
        <v>613</v>
      </c>
      <c r="N248" s="2" t="s">
        <v>32</v>
      </c>
      <c r="O248" s="3">
        <v>2925</v>
      </c>
      <c r="P248" s="2" t="s">
        <v>46</v>
      </c>
    </row>
    <row r="249" spans="1:16" x14ac:dyDescent="0.25">
      <c r="A249" s="2" t="s">
        <v>8</v>
      </c>
      <c r="B249" s="2" t="s">
        <v>602</v>
      </c>
      <c r="C249" s="2" t="s">
        <v>602</v>
      </c>
      <c r="D249" s="6" t="s">
        <v>25</v>
      </c>
      <c r="E249" s="3">
        <v>2573.24932210314</v>
      </c>
      <c r="F249" s="3">
        <v>4114.2425360704501</v>
      </c>
      <c r="G249" s="3">
        <v>4166.5681996130497</v>
      </c>
      <c r="H249" s="3">
        <v>1.2718176695675201</v>
      </c>
      <c r="I249" s="3">
        <v>61.918558136748203</v>
      </c>
      <c r="J249" s="2" t="s">
        <v>614</v>
      </c>
      <c r="K249" s="2" t="s">
        <v>116</v>
      </c>
      <c r="L249" s="3">
        <v>6247.72</v>
      </c>
      <c r="M249" s="2" t="s">
        <v>615</v>
      </c>
      <c r="N249" s="2" t="s">
        <v>194</v>
      </c>
      <c r="O249" s="3">
        <v>3300</v>
      </c>
      <c r="P249" s="2" t="s">
        <v>49</v>
      </c>
    </row>
    <row r="250" spans="1:16" x14ac:dyDescent="0.25">
      <c r="A250" s="2" t="s">
        <v>3</v>
      </c>
      <c r="B250" s="2" t="s">
        <v>616</v>
      </c>
      <c r="C250" s="2" t="s">
        <v>617</v>
      </c>
      <c r="D250" s="6" t="s">
        <v>25</v>
      </c>
      <c r="E250" s="3">
        <v>772.724446855922</v>
      </c>
      <c r="F250" s="3">
        <v>1705.58350433379</v>
      </c>
      <c r="G250" s="3">
        <v>1836.0085445683401</v>
      </c>
      <c r="H250" s="3">
        <v>7.6469454531632204</v>
      </c>
      <c r="I250" s="3">
        <v>137.60197468046101</v>
      </c>
      <c r="J250" s="2" t="s">
        <v>618</v>
      </c>
      <c r="K250" s="2" t="s">
        <v>318</v>
      </c>
      <c r="L250" s="3">
        <v>4041.66</v>
      </c>
      <c r="M250" s="2" t="s">
        <v>619</v>
      </c>
      <c r="N250" s="2" t="s">
        <v>29</v>
      </c>
      <c r="O250" s="3">
        <v>885.74</v>
      </c>
      <c r="P250" s="2" t="s">
        <v>30</v>
      </c>
    </row>
    <row r="251" spans="1:16" x14ac:dyDescent="0.25">
      <c r="A251" s="2" t="s">
        <v>4</v>
      </c>
      <c r="B251" s="2" t="s">
        <v>616</v>
      </c>
      <c r="C251" s="2" t="s">
        <v>617</v>
      </c>
      <c r="D251" s="6" t="s">
        <v>25</v>
      </c>
      <c r="E251" s="3">
        <v>818.91853200374499</v>
      </c>
      <c r="F251" s="3">
        <v>1836.0085445683401</v>
      </c>
      <c r="G251" s="3">
        <v>1905.90097860793</v>
      </c>
      <c r="H251" s="3">
        <v>3.80675973684103</v>
      </c>
      <c r="I251" s="3">
        <v>132.73389282625399</v>
      </c>
      <c r="J251" s="2" t="s">
        <v>620</v>
      </c>
      <c r="K251" s="2" t="s">
        <v>318</v>
      </c>
      <c r="L251" s="3">
        <v>4200.1099999999997</v>
      </c>
      <c r="M251" s="2" t="s">
        <v>621</v>
      </c>
      <c r="N251" s="2" t="s">
        <v>29</v>
      </c>
      <c r="O251" s="3">
        <v>895.09</v>
      </c>
      <c r="P251" s="2" t="s">
        <v>35</v>
      </c>
    </row>
    <row r="252" spans="1:16" x14ac:dyDescent="0.25">
      <c r="A252" s="2" t="s">
        <v>5</v>
      </c>
      <c r="B252" s="2" t="s">
        <v>616</v>
      </c>
      <c r="C252" s="2" t="s">
        <v>616</v>
      </c>
      <c r="D252" s="6" t="s">
        <v>25</v>
      </c>
      <c r="E252" s="3">
        <v>901.94204572569595</v>
      </c>
      <c r="F252" s="3">
        <v>1905.90097860793</v>
      </c>
      <c r="G252" s="3">
        <v>1991.3299394697301</v>
      </c>
      <c r="H252" s="3">
        <v>4.4823399442399801</v>
      </c>
      <c r="I252" s="3">
        <v>120.78247143557</v>
      </c>
      <c r="J252" s="2" t="s">
        <v>622</v>
      </c>
      <c r="K252" s="2" t="s">
        <v>133</v>
      </c>
      <c r="L252" s="3">
        <v>2566.67</v>
      </c>
      <c r="M252" s="2" t="s">
        <v>623</v>
      </c>
      <c r="N252" s="2" t="s">
        <v>194</v>
      </c>
      <c r="O252" s="3">
        <v>1450</v>
      </c>
      <c r="P252" s="2" t="s">
        <v>40</v>
      </c>
    </row>
    <row r="253" spans="1:16" x14ac:dyDescent="0.25">
      <c r="A253" s="2" t="s">
        <v>6</v>
      </c>
      <c r="B253" s="2" t="s">
        <v>616</v>
      </c>
      <c r="C253" s="2" t="s">
        <v>616</v>
      </c>
      <c r="D253" s="6" t="s">
        <v>25</v>
      </c>
      <c r="E253" s="3">
        <v>1009.55598963637</v>
      </c>
      <c r="F253" s="3">
        <v>1991.3299394697301</v>
      </c>
      <c r="G253" s="3">
        <v>2022.0329125304399</v>
      </c>
      <c r="H253" s="3">
        <v>1.5418325437762499</v>
      </c>
      <c r="I253" s="3">
        <v>100.289328505569</v>
      </c>
      <c r="J253" s="2" t="s">
        <v>624</v>
      </c>
      <c r="K253" s="2" t="s">
        <v>116</v>
      </c>
      <c r="L253" s="3">
        <v>2535.0300000000002</v>
      </c>
      <c r="M253" s="2" t="s">
        <v>625</v>
      </c>
      <c r="N253" s="2" t="s">
        <v>194</v>
      </c>
      <c r="O253" s="3">
        <v>1417.87</v>
      </c>
      <c r="P253" s="2" t="s">
        <v>42</v>
      </c>
    </row>
    <row r="254" spans="1:16" x14ac:dyDescent="0.25">
      <c r="A254" s="2" t="s">
        <v>7</v>
      </c>
      <c r="B254" s="2" t="s">
        <v>616</v>
      </c>
      <c r="C254" s="2" t="s">
        <v>616</v>
      </c>
      <c r="D254" s="6" t="s">
        <v>25</v>
      </c>
      <c r="E254" s="3">
        <v>1068.77645806394</v>
      </c>
      <c r="F254" s="3">
        <v>2022.0329125304399</v>
      </c>
      <c r="G254" s="3">
        <v>2141.1300356787601</v>
      </c>
      <c r="H254" s="3">
        <v>5.8899695652963304</v>
      </c>
      <c r="I254" s="3">
        <v>100.33469295883999</v>
      </c>
      <c r="J254" s="2" t="s">
        <v>626</v>
      </c>
      <c r="K254" s="2" t="s">
        <v>116</v>
      </c>
      <c r="L254" s="3">
        <v>2765.99</v>
      </c>
      <c r="M254" s="2" t="s">
        <v>627</v>
      </c>
      <c r="N254" s="2" t="s">
        <v>194</v>
      </c>
      <c r="O254" s="3">
        <v>1523.42</v>
      </c>
      <c r="P254" s="2" t="s">
        <v>46</v>
      </c>
    </row>
    <row r="255" spans="1:16" x14ac:dyDescent="0.25">
      <c r="A255" s="2" t="s">
        <v>8</v>
      </c>
      <c r="B255" s="2" t="s">
        <v>616</v>
      </c>
      <c r="C255" s="2" t="s">
        <v>616</v>
      </c>
      <c r="D255" s="6" t="s">
        <v>25</v>
      </c>
      <c r="E255" s="3">
        <v>1130.3692191499499</v>
      </c>
      <c r="F255" s="3">
        <v>2141.1300356787601</v>
      </c>
      <c r="G255" s="3">
        <v>2240.0837774352499</v>
      </c>
      <c r="H255" s="3">
        <v>4.6215661873674296</v>
      </c>
      <c r="I255" s="3">
        <v>98.172750945910096</v>
      </c>
      <c r="J255" s="2" t="s">
        <v>628</v>
      </c>
      <c r="K255" s="2" t="s">
        <v>116</v>
      </c>
      <c r="L255" s="3">
        <v>2985.28</v>
      </c>
      <c r="M255" s="2" t="s">
        <v>629</v>
      </c>
      <c r="N255" s="2" t="s">
        <v>118</v>
      </c>
      <c r="O255" s="3">
        <v>1810</v>
      </c>
      <c r="P255" s="2" t="s">
        <v>49</v>
      </c>
    </row>
  </sheetData>
  <autoFilter ref="A1:P255" xr:uid="{00000000-0009-0000-0000-000002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3"/>
  <sheetViews>
    <sheetView zoomScaleNormal="100" workbookViewId="0">
      <pane ySplit="1" topLeftCell="A2" activePane="bottomLeft" state="frozen"/>
      <selection pane="bottomLeft" activeCell="Q5" sqref="Q2:AJ5"/>
    </sheetView>
  </sheetViews>
  <sheetFormatPr defaultColWidth="8.7109375" defaultRowHeight="15" x14ac:dyDescent="0.25"/>
  <cols>
    <col min="1" max="1" width="38" customWidth="1"/>
    <col min="2" max="2" width="15" customWidth="1"/>
    <col min="3" max="9" width="14" customWidth="1"/>
    <col min="10" max="11" width="12" customWidth="1"/>
    <col min="12" max="12" width="14" customWidth="1"/>
  </cols>
  <sheetData>
    <row r="1" spans="1:12" ht="27.75" customHeight="1" x14ac:dyDescent="0.25">
      <c r="A1" s="5" t="s">
        <v>9</v>
      </c>
      <c r="B1" s="5" t="s">
        <v>11</v>
      </c>
      <c r="C1" s="5" t="s">
        <v>630</v>
      </c>
      <c r="D1" s="5" t="s">
        <v>631</v>
      </c>
      <c r="E1" s="5" t="s">
        <v>632</v>
      </c>
      <c r="F1" s="5" t="s">
        <v>633</v>
      </c>
      <c r="G1" s="5" t="s">
        <v>634</v>
      </c>
      <c r="H1" s="5" t="s">
        <v>635</v>
      </c>
      <c r="I1" s="5" t="s">
        <v>636</v>
      </c>
      <c r="J1" s="5" t="s">
        <v>637</v>
      </c>
      <c r="K1" s="5" t="s">
        <v>638</v>
      </c>
      <c r="L1" s="5" t="s">
        <v>639</v>
      </c>
    </row>
    <row r="2" spans="1:12" x14ac:dyDescent="0.25">
      <c r="A2" s="2" t="s">
        <v>1</v>
      </c>
      <c r="B2" s="2" t="str">
        <f>IFERROR(INDEX('Standardized Data'!$D$2:$D$255,MATCH($A2,'Standardized Data'!$B$2:$B$255,0)),"")</f>
        <v>Confirmed</v>
      </c>
      <c r="C2" s="2">
        <f>COUNTIF('Standardized Data'!$B$2:$B$255,$A2)</f>
        <v>6</v>
      </c>
      <c r="D2" s="3">
        <f>IF(SUMIFS('Standardized Data'!$G$2:$G$255,'Standardized Data'!$B$2:$B$255,$A2,'Standardized Data'!$A$2:$A$255,"Nov-2024")=0,"",SUMIFS('Standardized Data'!$G$2:$G$255,'Standardized Data'!$B$2:$B$255,$A2,'Standardized Data'!$A$2:$A$255,"Nov-2024"))</f>
        <v>247.25909993431799</v>
      </c>
      <c r="E2" s="3">
        <f>IF(SUMIFS('Standardized Data'!$G$2:$G$255,'Standardized Data'!$B$2:$B$255,$A2,'Standardized Data'!$A$2:$A$255,"Dec-2024")=0,"",SUMIFS('Standardized Data'!$G$2:$G$255,'Standardized Data'!$B$2:$B$255,$A2,'Standardized Data'!$A$2:$A$255,"Dec-2024"))</f>
        <v>252.16549790250099</v>
      </c>
      <c r="F2" s="3">
        <f>IF(SUMIFS('Standardized Data'!$G$2:$G$255,'Standardized Data'!$B$2:$B$255,$A2,'Standardized Data'!$A$2:$A$255,"Jan-2025")=0,"",SUMIFS('Standardized Data'!$G$2:$G$255,'Standardized Data'!$B$2:$B$255,$A2,'Standardized Data'!$A$2:$A$255,"Jan-2025"))</f>
        <v>248.04139052252299</v>
      </c>
      <c r="G2" s="3">
        <f>IF(SUMIFS('Standardized Data'!$G$2:$G$255,'Standardized Data'!$B$2:$B$255,$A2,'Standardized Data'!$A$2:$A$255,"Feb-2025")=0,"",SUMIFS('Standardized Data'!$G$2:$G$255,'Standardized Data'!$B$2:$B$255,$A2,'Standardized Data'!$A$2:$A$255,"Feb-2025"))</f>
        <v>251.94051654054101</v>
      </c>
      <c r="H2" s="3">
        <f>IF(SUMIFS('Standardized Data'!$G$2:$G$255,'Standardized Data'!$B$2:$B$255,$A2,'Standardized Data'!$A$2:$A$255,"Mar-2025")=0,"",SUMIFS('Standardized Data'!$G$2:$G$255,'Standardized Data'!$B$2:$B$255,$A2,'Standardized Data'!$A$2:$A$255,"Mar-2025"))</f>
        <v>261.18234628675702</v>
      </c>
      <c r="I2" s="3">
        <f>IF(SUMIFS('Standardized Data'!$G$2:$G$255,'Standardized Data'!$B$2:$B$255,$A2,'Standardized Data'!$A$2:$A$255,"Apr-2025")=0,"",SUMIFS('Standardized Data'!$G$2:$G$255,'Standardized Data'!$B$2:$B$255,$A2,'Standardized Data'!$A$2:$A$255,"Apr-2025"))</f>
        <v>259.31615245998501</v>
      </c>
      <c r="J2" s="4">
        <f>IFERROR(AVERAGEIFS('Standardized Data'!$H$2:$H$255,'Standardized Data'!$B$2:$B$255,$A2),"")</f>
        <v>1.6317498830169372</v>
      </c>
      <c r="K2" s="4">
        <f>IFERROR(AVERAGEIFS('Standardized Data'!$I$2:$I$255,'Standardized Data'!$B$2:$B$255,$A2),"")</f>
        <v>99.360310375315905</v>
      </c>
      <c r="L2" s="3">
        <f t="shared" ref="L2:L33" si="0">IF(I2&lt;&gt;"",I2,IF(H2&lt;&gt;"",H2,IF(G2&lt;&gt;"",G2,IF(F2&lt;&gt;"",F2,IF(E2&lt;&gt;"",E2,IF(D2&lt;&gt;"",D2,""))))))</f>
        <v>259.31615245998501</v>
      </c>
    </row>
    <row r="3" spans="1:12" x14ac:dyDescent="0.25">
      <c r="A3" s="2" t="s">
        <v>50</v>
      </c>
      <c r="B3" s="2" t="str">
        <f>IFERROR(INDEX('Standardized Data'!$D$2:$D$255,MATCH($A3,'Standardized Data'!$B$2:$B$255,0)),"")</f>
        <v>Likely</v>
      </c>
      <c r="C3" s="2">
        <f>COUNTIF('Standardized Data'!$B$2:$B$255,$A3)</f>
        <v>6</v>
      </c>
      <c r="D3" s="3">
        <f>IF(SUMIFS('Standardized Data'!$G$2:$G$255,'Standardized Data'!$B$2:$B$255,$A3,'Standardized Data'!$A$2:$A$255,"Nov-2024")=0,"",SUMIFS('Standardized Data'!$G$2:$G$255,'Standardized Data'!$B$2:$B$255,$A3,'Standardized Data'!$A$2:$A$255,"Nov-2024"))</f>
        <v>2833.9730241430798</v>
      </c>
      <c r="E3" s="3">
        <f>IF(SUMIFS('Standardized Data'!$G$2:$G$255,'Standardized Data'!$B$2:$B$255,$A3,'Standardized Data'!$A$2:$A$255,"Dec-2024")=0,"",SUMIFS('Standardized Data'!$G$2:$G$255,'Standardized Data'!$B$2:$B$255,$A3,'Standardized Data'!$A$2:$A$255,"Dec-2024"))</f>
        <v>2866.9150988280699</v>
      </c>
      <c r="F3" s="3">
        <f>IF(SUMIFS('Standardized Data'!$G$2:$G$255,'Standardized Data'!$B$2:$B$255,$A3,'Standardized Data'!$A$2:$A$255,"Jan-2025")=0,"",SUMIFS('Standardized Data'!$G$2:$G$255,'Standardized Data'!$B$2:$B$255,$A3,'Standardized Data'!$A$2:$A$255,"Jan-2025"))</f>
        <v>5878.1406466216204</v>
      </c>
      <c r="G3" s="3">
        <f>IF(SUMIFS('Standardized Data'!$G$2:$G$255,'Standardized Data'!$B$2:$B$255,$A3,'Standardized Data'!$A$2:$A$255,"Feb-2025")=0,"",SUMIFS('Standardized Data'!$G$2:$G$255,'Standardized Data'!$B$2:$B$255,$A3,'Standardized Data'!$A$2:$A$255,"Feb-2025"))</f>
        <v>5976.1158515450497</v>
      </c>
      <c r="H3" s="3">
        <f>IF(SUMIFS('Standardized Data'!$G$2:$G$255,'Standardized Data'!$B$2:$B$255,$A3,'Standardized Data'!$A$2:$A$255,"Mar-2025")=0,"",SUMIFS('Standardized Data'!$G$2:$G$255,'Standardized Data'!$B$2:$B$255,$A3,'Standardized Data'!$A$2:$A$255,"Mar-2025"))</f>
        <v>7670.5591900852696</v>
      </c>
      <c r="I3" s="3">
        <f>IF(SUMIFS('Standardized Data'!$G$2:$G$255,'Standardized Data'!$B$2:$B$255,$A3,'Standardized Data'!$A$2:$A$255,"Apr-2025")=0,"",SUMIFS('Standardized Data'!$G$2:$G$255,'Standardized Data'!$B$2:$B$255,$A3,'Standardized Data'!$A$2:$A$255,"Apr-2025"))</f>
        <v>6150.1780720720699</v>
      </c>
      <c r="J3" s="4">
        <f>IFERROR(AVERAGEIFS('Standardized Data'!$H$2:$H$255,'Standardized Data'!$B$2:$B$255,$A3),"")</f>
        <v>3.4878852429852314</v>
      </c>
      <c r="K3" s="4">
        <f>IFERROR(AVERAGEIFS('Standardized Data'!$I$2:$I$255,'Standardized Data'!$B$2:$B$255,$A3),"")</f>
        <v>132.097369745983</v>
      </c>
      <c r="L3" s="3">
        <f t="shared" si="0"/>
        <v>6150.1780720720699</v>
      </c>
    </row>
    <row r="4" spans="1:12" x14ac:dyDescent="0.25">
      <c r="A4" s="2" t="s">
        <v>68</v>
      </c>
      <c r="B4" s="2" t="str">
        <f>IFERROR(INDEX('Standardized Data'!$D$2:$D$255,MATCH($A4,'Standardized Data'!$B$2:$B$255,0)),"")</f>
        <v>Confirmed</v>
      </c>
      <c r="C4" s="2">
        <f>COUNTIF('Standardized Data'!$B$2:$B$255,$A4)</f>
        <v>6</v>
      </c>
      <c r="D4" s="3">
        <f>IF(SUMIFS('Standardized Data'!$G$2:$G$255,'Standardized Data'!$B$2:$B$255,$A4,'Standardized Data'!$A$2:$A$255,"Nov-2024")=0,"",SUMIFS('Standardized Data'!$G$2:$G$255,'Standardized Data'!$B$2:$B$255,$A4,'Standardized Data'!$A$2:$A$255,"Nov-2024"))</f>
        <v>2720.9608418325502</v>
      </c>
      <c r="E4" s="3">
        <f>IF(SUMIFS('Standardized Data'!$G$2:$G$255,'Standardized Data'!$B$2:$B$255,$A4,'Standardized Data'!$A$2:$A$255,"Dec-2024")=0,"",SUMIFS('Standardized Data'!$G$2:$G$255,'Standardized Data'!$B$2:$B$255,$A4,'Standardized Data'!$A$2:$A$255,"Dec-2024"))</f>
        <v>2501.3235254572801</v>
      </c>
      <c r="F4" s="3">
        <f>IF(SUMIFS('Standardized Data'!$G$2:$G$255,'Standardized Data'!$B$2:$B$255,$A4,'Standardized Data'!$A$2:$A$255,"Jan-2025")=0,"",SUMIFS('Standardized Data'!$G$2:$G$255,'Standardized Data'!$B$2:$B$255,$A4,'Standardized Data'!$A$2:$A$255,"Jan-2025"))</f>
        <v>2458.53328829572</v>
      </c>
      <c r="G4" s="3">
        <f>IF(SUMIFS('Standardized Data'!$G$2:$G$255,'Standardized Data'!$B$2:$B$255,$A4,'Standardized Data'!$A$2:$A$255,"Feb-2025")=0,"",SUMIFS('Standardized Data'!$G$2:$G$255,'Standardized Data'!$B$2:$B$255,$A4,'Standardized Data'!$A$2:$A$255,"Feb-2025"))</f>
        <v>2465.9627716485402</v>
      </c>
      <c r="H4" s="3">
        <f>IF(SUMIFS('Standardized Data'!$G$2:$G$255,'Standardized Data'!$B$2:$B$255,$A4,'Standardized Data'!$A$2:$A$255,"Mar-2025")=0,"",SUMIFS('Standardized Data'!$G$2:$G$255,'Standardized Data'!$B$2:$B$255,$A4,'Standardized Data'!$A$2:$A$255,"Mar-2025"))</f>
        <v>2616.2636109231798</v>
      </c>
      <c r="I4" s="3">
        <f>IF(SUMIFS('Standardized Data'!$G$2:$G$255,'Standardized Data'!$B$2:$B$255,$A4,'Standardized Data'!$A$2:$A$255,"Apr-2025")=0,"",SUMIFS('Standardized Data'!$G$2:$G$255,'Standardized Data'!$B$2:$B$255,$A4,'Standardized Data'!$A$2:$A$255,"Apr-2025"))</f>
        <v>2429.3885720073299</v>
      </c>
      <c r="J4" s="4">
        <f>IFERROR(AVERAGEIFS('Standardized Data'!$H$2:$H$255,'Standardized Data'!$B$2:$B$255,$A4),"")</f>
        <v>-2.2164958599277353</v>
      </c>
      <c r="K4" s="4">
        <f>IFERROR(AVERAGEIFS('Standardized Data'!$I$2:$I$255,'Standardized Data'!$B$2:$B$255,$A4),"")</f>
        <v>143.28972676771997</v>
      </c>
      <c r="L4" s="3">
        <f t="shared" si="0"/>
        <v>2429.3885720073299</v>
      </c>
    </row>
    <row r="5" spans="1:12" x14ac:dyDescent="0.25">
      <c r="A5" s="2" t="s">
        <v>86</v>
      </c>
      <c r="B5" s="2" t="str">
        <f>IFERROR(INDEX('Standardized Data'!$D$2:$D$255,MATCH($A5,'Standardized Data'!$B$2:$B$255,0)),"")</f>
        <v>Confirmed</v>
      </c>
      <c r="C5" s="2">
        <f>COUNTIF('Standardized Data'!$B$2:$B$255,$A5)</f>
        <v>6</v>
      </c>
      <c r="D5" s="3">
        <f>IF(SUMIFS('Standardized Data'!$G$2:$G$255,'Standardized Data'!$B$2:$B$255,$A5,'Standardized Data'!$A$2:$A$255,"Nov-2024")=0,"",SUMIFS('Standardized Data'!$G$2:$G$255,'Standardized Data'!$B$2:$B$255,$A5,'Standardized Data'!$A$2:$A$255,"Nov-2024"))</f>
        <v>2546.70254553512</v>
      </c>
      <c r="E5" s="3">
        <f>IF(SUMIFS('Standardized Data'!$G$2:$G$255,'Standardized Data'!$B$2:$B$255,$A5,'Standardized Data'!$A$2:$A$255,"Dec-2024")=0,"",SUMIFS('Standardized Data'!$G$2:$G$255,'Standardized Data'!$B$2:$B$255,$A5,'Standardized Data'!$A$2:$A$255,"Dec-2024"))</f>
        <v>2319.0422043194098</v>
      </c>
      <c r="F5" s="3">
        <f>IF(SUMIFS('Standardized Data'!$G$2:$G$255,'Standardized Data'!$B$2:$B$255,$A5,'Standardized Data'!$A$2:$A$255,"Jan-2025")=0,"",SUMIFS('Standardized Data'!$G$2:$G$255,'Standardized Data'!$B$2:$B$255,$A5,'Standardized Data'!$A$2:$A$255,"Jan-2025"))</f>
        <v>2123.8529942048899</v>
      </c>
      <c r="G5" s="3">
        <f>IF(SUMIFS('Standardized Data'!$G$2:$G$255,'Standardized Data'!$B$2:$B$255,$A5,'Standardized Data'!$A$2:$A$255,"Feb-2025")=0,"",SUMIFS('Standardized Data'!$G$2:$G$255,'Standardized Data'!$B$2:$B$255,$A5,'Standardized Data'!$A$2:$A$255,"Feb-2025"))</f>
        <v>2114.3292357077398</v>
      </c>
      <c r="H5" s="3">
        <f>IF(SUMIFS('Standardized Data'!$G$2:$G$255,'Standardized Data'!$B$2:$B$255,$A5,'Standardized Data'!$A$2:$A$255,"Mar-2025")=0,"",SUMIFS('Standardized Data'!$G$2:$G$255,'Standardized Data'!$B$2:$B$255,$A5,'Standardized Data'!$A$2:$A$255,"Mar-2025"))</f>
        <v>2215.1070570947099</v>
      </c>
      <c r="I5" s="3">
        <f>IF(SUMIFS('Standardized Data'!$G$2:$G$255,'Standardized Data'!$B$2:$B$255,$A5,'Standardized Data'!$A$2:$A$255,"Apr-2025")=0,"",SUMIFS('Standardized Data'!$G$2:$G$255,'Standardized Data'!$B$2:$B$255,$A5,'Standardized Data'!$A$2:$A$255,"Apr-2025"))</f>
        <v>2097.3099314450801</v>
      </c>
      <c r="J5" s="4">
        <f>IFERROR(AVERAGEIFS('Standardized Data'!$H$2:$H$255,'Standardized Data'!$B$2:$B$255,$A5),"")</f>
        <v>-3.4218097390518625</v>
      </c>
      <c r="K5" s="4">
        <f>IFERROR(AVERAGEIFS('Standardized Data'!$I$2:$I$255,'Standardized Data'!$B$2:$B$255,$A5),"")</f>
        <v>126.05759490161624</v>
      </c>
      <c r="L5" s="3">
        <f t="shared" si="0"/>
        <v>2097.3099314450801</v>
      </c>
    </row>
    <row r="6" spans="1:12" x14ac:dyDescent="0.25">
      <c r="A6" s="2" t="s">
        <v>101</v>
      </c>
      <c r="B6" s="2" t="str">
        <f>IFERROR(INDEX('Standardized Data'!$D$2:$D$255,MATCH($A6,'Standardized Data'!$B$2:$B$255,0)),"")</f>
        <v>Discontinued</v>
      </c>
      <c r="C6" s="2">
        <f>COUNTIF('Standardized Data'!$B$2:$B$255,$A6)</f>
        <v>2</v>
      </c>
      <c r="D6" s="3">
        <f>IF(SUMIFS('Standardized Data'!$G$2:$G$255,'Standardized Data'!$B$2:$B$255,$A6,'Standardized Data'!$A$2:$A$255,"Nov-2024")=0,"",SUMIFS('Standardized Data'!$G$2:$G$255,'Standardized Data'!$B$2:$B$255,$A6,'Standardized Data'!$A$2:$A$255,"Nov-2024"))</f>
        <v>5073.7358123538697</v>
      </c>
      <c r="E6" s="3">
        <f>IF(SUMIFS('Standardized Data'!$G$2:$G$255,'Standardized Data'!$B$2:$B$255,$A6,'Standardized Data'!$A$2:$A$255,"Dec-2024")=0,"",SUMIFS('Standardized Data'!$G$2:$G$255,'Standardized Data'!$B$2:$B$255,$A6,'Standardized Data'!$A$2:$A$255,"Dec-2024"))</f>
        <v>5153.1848804249303</v>
      </c>
      <c r="F6" s="3" t="str">
        <f>IF(SUMIFS('Standardized Data'!$G$2:$G$255,'Standardized Data'!$B$2:$B$255,$A6,'Standardized Data'!$A$2:$A$255,"Jan-2025")=0,"",SUMIFS('Standardized Data'!$G$2:$G$255,'Standardized Data'!$B$2:$B$255,$A6,'Standardized Data'!$A$2:$A$255,"Jan-2025"))</f>
        <v/>
      </c>
      <c r="G6" s="3" t="str">
        <f>IF(SUMIFS('Standardized Data'!$G$2:$G$255,'Standardized Data'!$B$2:$B$255,$A6,'Standardized Data'!$A$2:$A$255,"Feb-2025")=0,"",SUMIFS('Standardized Data'!$G$2:$G$255,'Standardized Data'!$B$2:$B$255,$A6,'Standardized Data'!$A$2:$A$255,"Feb-2025"))</f>
        <v/>
      </c>
      <c r="H6" s="3" t="str">
        <f>IF(SUMIFS('Standardized Data'!$G$2:$G$255,'Standardized Data'!$B$2:$B$255,$A6,'Standardized Data'!$A$2:$A$255,"Mar-2025")=0,"",SUMIFS('Standardized Data'!$G$2:$G$255,'Standardized Data'!$B$2:$B$255,$A6,'Standardized Data'!$A$2:$A$255,"Mar-2025"))</f>
        <v/>
      </c>
      <c r="I6" s="3" t="str">
        <f>IF(SUMIFS('Standardized Data'!$G$2:$G$255,'Standardized Data'!$B$2:$B$255,$A6,'Standardized Data'!$A$2:$A$255,"Apr-2025")=0,"",SUMIFS('Standardized Data'!$G$2:$G$255,'Standardized Data'!$B$2:$B$255,$A6,'Standardized Data'!$A$2:$A$255,"Apr-2025"))</f>
        <v/>
      </c>
      <c r="J6" s="4">
        <f>IFERROR(AVERAGEIFS('Standardized Data'!$H$2:$H$255,'Standardized Data'!$B$2:$B$255,$A6),"")</f>
        <v>2.4017254547602649</v>
      </c>
      <c r="K6" s="4">
        <f>IFERROR(AVERAGEIFS('Standardized Data'!$I$2:$I$255,'Standardized Data'!$B$2:$B$255,$A6),"")</f>
        <v>91.998090347876257</v>
      </c>
      <c r="L6" s="3">
        <f t="shared" si="0"/>
        <v>5153.1848804249303</v>
      </c>
    </row>
    <row r="7" spans="1:12" x14ac:dyDescent="0.25">
      <c r="A7" s="2" t="s">
        <v>109</v>
      </c>
      <c r="B7" s="2" t="str">
        <f>IFERROR(INDEX('Standardized Data'!$D$2:$D$255,MATCH($A7,'Standardized Data'!$B$2:$B$255,0)),"")</f>
        <v>Confirmed</v>
      </c>
      <c r="C7" s="2">
        <f>COUNTIF('Standardized Data'!$B$2:$B$255,$A7)</f>
        <v>6</v>
      </c>
      <c r="D7" s="3">
        <f>IF(SUMIFS('Standardized Data'!$G$2:$G$255,'Standardized Data'!$B$2:$B$255,$A7,'Standardized Data'!$A$2:$A$255,"Nov-2024")=0,"",SUMIFS('Standardized Data'!$G$2:$G$255,'Standardized Data'!$B$2:$B$255,$A7,'Standardized Data'!$A$2:$A$255,"Nov-2024"))</f>
        <v>6001.3163065393601</v>
      </c>
      <c r="E7" s="3">
        <f>IF(SUMIFS('Standardized Data'!$G$2:$G$255,'Standardized Data'!$B$2:$B$255,$A7,'Standardized Data'!$A$2:$A$255,"Dec-2024")=0,"",SUMIFS('Standardized Data'!$G$2:$G$255,'Standardized Data'!$B$2:$B$255,$A7,'Standardized Data'!$A$2:$A$255,"Dec-2024"))</f>
        <v>6150.1828826503897</v>
      </c>
      <c r="F7" s="3">
        <f>IF(SUMIFS('Standardized Data'!$G$2:$G$255,'Standardized Data'!$B$2:$B$255,$A7,'Standardized Data'!$A$2:$A$255,"Jan-2025")=0,"",SUMIFS('Standardized Data'!$G$2:$G$255,'Standardized Data'!$B$2:$B$255,$A7,'Standardized Data'!$A$2:$A$255,"Jan-2025"))</f>
        <v>6122.5682943123202</v>
      </c>
      <c r="G7" s="3">
        <f>IF(SUMIFS('Standardized Data'!$G$2:$G$255,'Standardized Data'!$B$2:$B$255,$A7,'Standardized Data'!$A$2:$A$255,"Feb-2025")=0,"",SUMIFS('Standardized Data'!$G$2:$G$255,'Standardized Data'!$B$2:$B$255,$A7,'Standardized Data'!$A$2:$A$255,"Feb-2025"))</f>
        <v>6269.45881945785</v>
      </c>
      <c r="H7" s="3">
        <f>IF(SUMIFS('Standardized Data'!$G$2:$G$255,'Standardized Data'!$B$2:$B$255,$A7,'Standardized Data'!$A$2:$A$255,"Mar-2025")=0,"",SUMIFS('Standardized Data'!$G$2:$G$255,'Standardized Data'!$B$2:$B$255,$A7,'Standardized Data'!$A$2:$A$255,"Mar-2025"))</f>
        <v>6523.5009907142503</v>
      </c>
      <c r="I7" s="3">
        <f>IF(SUMIFS('Standardized Data'!$G$2:$G$255,'Standardized Data'!$B$2:$B$255,$A7,'Standardized Data'!$A$2:$A$255,"Apr-2025")=0,"",SUMIFS('Standardized Data'!$G$2:$G$255,'Standardized Data'!$B$2:$B$255,$A7,'Standardized Data'!$A$2:$A$255,"Apr-2025"))</f>
        <v>6544.5368584491798</v>
      </c>
      <c r="J7" s="4">
        <f>IFERROR(AVERAGEIFS('Standardized Data'!$H$2:$H$255,'Standardized Data'!$B$2:$B$255,$A7),"")</f>
        <v>1.8736114204252827</v>
      </c>
      <c r="K7" s="4">
        <f>IFERROR(AVERAGEIFS('Standardized Data'!$I$2:$I$255,'Standardized Data'!$B$2:$B$255,$A7),"")</f>
        <v>73.336427390229133</v>
      </c>
      <c r="L7" s="3">
        <f t="shared" si="0"/>
        <v>6544.5368584491798</v>
      </c>
    </row>
    <row r="8" spans="1:12" x14ac:dyDescent="0.25">
      <c r="A8" s="2" t="s">
        <v>125</v>
      </c>
      <c r="B8" s="2" t="str">
        <f>IFERROR(INDEX('Standardized Data'!$D$2:$D$255,MATCH($A8,'Standardized Data'!$B$2:$B$255,0)),"")</f>
        <v>Likely</v>
      </c>
      <c r="C8" s="2">
        <f>COUNTIF('Standardized Data'!$B$2:$B$255,$A8)</f>
        <v>6</v>
      </c>
      <c r="D8" s="3">
        <f>IF(SUMIFS('Standardized Data'!$G$2:$G$255,'Standardized Data'!$B$2:$B$255,$A8,'Standardized Data'!$A$2:$A$255,"Nov-2024")=0,"",SUMIFS('Standardized Data'!$G$2:$G$255,'Standardized Data'!$B$2:$B$255,$A8,'Standardized Data'!$A$2:$A$255,"Nov-2024"))</f>
        <v>1588.02666383821</v>
      </c>
      <c r="E8" s="3">
        <f>IF(SUMIFS('Standardized Data'!$G$2:$G$255,'Standardized Data'!$B$2:$B$255,$A8,'Standardized Data'!$A$2:$A$255,"Dec-2024")=0,"",SUMIFS('Standardized Data'!$G$2:$G$255,'Standardized Data'!$B$2:$B$255,$A8,'Standardized Data'!$A$2:$A$255,"Dec-2024"))</f>
        <v>1610.8261641694201</v>
      </c>
      <c r="F8" s="3">
        <f>IF(SUMIFS('Standardized Data'!$G$2:$G$255,'Standardized Data'!$B$2:$B$255,$A8,'Standardized Data'!$A$2:$A$255,"Jan-2025")=0,"",SUMIFS('Standardized Data'!$G$2:$G$255,'Standardized Data'!$B$2:$B$255,$A8,'Standardized Data'!$A$2:$A$255,"Jan-2025"))</f>
        <v>1604.7842497597601</v>
      </c>
      <c r="G8" s="3">
        <f>IF(SUMIFS('Standardized Data'!$G$2:$G$255,'Standardized Data'!$B$2:$B$255,$A8,'Standardized Data'!$A$2:$A$255,"Feb-2025")=0,"",SUMIFS('Standardized Data'!$G$2:$G$255,'Standardized Data'!$B$2:$B$255,$A8,'Standardized Data'!$A$2:$A$255,"Feb-2025"))</f>
        <v>1633.18538583033</v>
      </c>
      <c r="H8" s="3">
        <f>IF(SUMIFS('Standardized Data'!$G$2:$G$255,'Standardized Data'!$B$2:$B$255,$A8,'Standardized Data'!$A$2:$A$255,"Mar-2025")=0,"",SUMIFS('Standardized Data'!$G$2:$G$255,'Standardized Data'!$B$2:$B$255,$A8,'Standardized Data'!$A$2:$A$255,"Mar-2025"))</f>
        <v>1680.17469739189</v>
      </c>
      <c r="I8" s="3">
        <f>IF(SUMIFS('Standardized Data'!$G$2:$G$255,'Standardized Data'!$B$2:$B$255,$A8,'Standardized Data'!$A$2:$A$255,"Apr-2025")=0,"",SUMIFS('Standardized Data'!$G$2:$G$255,'Standardized Data'!$B$2:$B$255,$A8,'Standardized Data'!$A$2:$A$255,"Apr-2025"))</f>
        <v>1688.39984573376</v>
      </c>
      <c r="J8" s="4">
        <f>IFERROR(AVERAGEIFS('Standardized Data'!$H$2:$H$255,'Standardized Data'!$B$2:$B$255,$A8),"")</f>
        <v>1.8018964001151443</v>
      </c>
      <c r="K8" s="4">
        <f>IFERROR(AVERAGEIFS('Standardized Data'!$I$2:$I$255,'Standardized Data'!$B$2:$B$255,$A8),"")</f>
        <v>91.676147816639343</v>
      </c>
      <c r="L8" s="3">
        <f t="shared" si="0"/>
        <v>1688.39984573376</v>
      </c>
    </row>
    <row r="9" spans="1:12" x14ac:dyDescent="0.25">
      <c r="A9" s="2" t="s">
        <v>138</v>
      </c>
      <c r="B9" s="2" t="str">
        <f>IFERROR(INDEX('Standardized Data'!$D$2:$D$255,MATCH($A9,'Standardized Data'!$B$2:$B$255,0)),"")</f>
        <v>Likely</v>
      </c>
      <c r="C9" s="2">
        <f>COUNTIF('Standardized Data'!$B$2:$B$255,$A9)</f>
        <v>6</v>
      </c>
      <c r="D9" s="3">
        <f>IF(SUMIFS('Standardized Data'!$G$2:$G$255,'Standardized Data'!$B$2:$B$255,$A9,'Standardized Data'!$A$2:$A$255,"Nov-2024")=0,"",SUMIFS('Standardized Data'!$G$2:$G$255,'Standardized Data'!$B$2:$B$255,$A9,'Standardized Data'!$A$2:$A$255,"Nov-2024"))</f>
        <v>1486.2466029906</v>
      </c>
      <c r="E9" s="3">
        <f>IF(SUMIFS('Standardized Data'!$G$2:$G$255,'Standardized Data'!$B$2:$B$255,$A9,'Standardized Data'!$A$2:$A$255,"Dec-2024")=0,"",SUMIFS('Standardized Data'!$G$2:$G$255,'Standardized Data'!$B$2:$B$255,$A9,'Standardized Data'!$A$2:$A$255,"Dec-2024"))</f>
        <v>1512.1275136475199</v>
      </c>
      <c r="F9" s="3">
        <f>IF(SUMIFS('Standardized Data'!$G$2:$G$255,'Standardized Data'!$B$2:$B$255,$A9,'Standardized Data'!$A$2:$A$255,"Jan-2025")=0,"",SUMIFS('Standardized Data'!$G$2:$G$255,'Standardized Data'!$B$2:$B$255,$A9,'Standardized Data'!$A$2:$A$255,"Jan-2025"))</f>
        <v>1452.9829733163899</v>
      </c>
      <c r="G9" s="3">
        <f>IF(SUMIFS('Standardized Data'!$G$2:$G$255,'Standardized Data'!$B$2:$B$255,$A9,'Standardized Data'!$A$2:$A$255,"Feb-2025")=0,"",SUMIFS('Standardized Data'!$G$2:$G$255,'Standardized Data'!$B$2:$B$255,$A9,'Standardized Data'!$A$2:$A$255,"Feb-2025"))</f>
        <v>1497.4271531464999</v>
      </c>
      <c r="H9" s="3">
        <f>IF(SUMIFS('Standardized Data'!$G$2:$G$255,'Standardized Data'!$B$2:$B$255,$A9,'Standardized Data'!$A$2:$A$255,"Mar-2025")=0,"",SUMIFS('Standardized Data'!$G$2:$G$255,'Standardized Data'!$B$2:$B$255,$A9,'Standardized Data'!$A$2:$A$255,"Mar-2025"))</f>
        <v>1561.2438133998</v>
      </c>
      <c r="I9" s="3">
        <f>IF(SUMIFS('Standardized Data'!$G$2:$G$255,'Standardized Data'!$B$2:$B$255,$A9,'Standardized Data'!$A$2:$A$255,"Apr-2025")=0,"",SUMIFS('Standardized Data'!$G$2:$G$255,'Standardized Data'!$B$2:$B$255,$A9,'Standardized Data'!$A$2:$A$255,"Apr-2025"))</f>
        <v>1547.5179018418</v>
      </c>
      <c r="J9" s="4">
        <f>IFERROR(AVERAGEIFS('Standardized Data'!$H$2:$H$255,'Standardized Data'!$B$2:$B$255,$A9),"")</f>
        <v>2.0739804355600606</v>
      </c>
      <c r="K9" s="4">
        <f>IFERROR(AVERAGEIFS('Standardized Data'!$I$2:$I$255,'Standardized Data'!$B$2:$B$255,$A9),"")</f>
        <v>86.133272449569404</v>
      </c>
      <c r="L9" s="3">
        <f t="shared" si="0"/>
        <v>1547.5179018418</v>
      </c>
    </row>
    <row r="10" spans="1:12" x14ac:dyDescent="0.25">
      <c r="A10" s="2" t="s">
        <v>153</v>
      </c>
      <c r="B10" s="2" t="str">
        <f>IFERROR(INDEX('Standardized Data'!$D$2:$D$255,MATCH($A10,'Standardized Data'!$B$2:$B$255,0)),"")</f>
        <v>New (2025)</v>
      </c>
      <c r="C10" s="2">
        <f>COUNTIF('Standardized Data'!$B$2:$B$255,$A10)</f>
        <v>4</v>
      </c>
      <c r="D10" s="3" t="str">
        <f>IF(SUMIFS('Standardized Data'!$G$2:$G$255,'Standardized Data'!$B$2:$B$255,$A10,'Standardized Data'!$A$2:$A$255,"Nov-2024")=0,"",SUMIFS('Standardized Data'!$G$2:$G$255,'Standardized Data'!$B$2:$B$255,$A10,'Standardized Data'!$A$2:$A$255,"Nov-2024"))</f>
        <v/>
      </c>
      <c r="E10" s="3" t="str">
        <f>IF(SUMIFS('Standardized Data'!$G$2:$G$255,'Standardized Data'!$B$2:$B$255,$A10,'Standardized Data'!$A$2:$A$255,"Dec-2024")=0,"",SUMIFS('Standardized Data'!$G$2:$G$255,'Standardized Data'!$B$2:$B$255,$A10,'Standardized Data'!$A$2:$A$255,"Dec-2024"))</f>
        <v/>
      </c>
      <c r="F10" s="3">
        <f>IF(SUMIFS('Standardized Data'!$G$2:$G$255,'Standardized Data'!$B$2:$B$255,$A10,'Standardized Data'!$A$2:$A$255,"Jan-2025")=0,"",SUMIFS('Standardized Data'!$G$2:$G$255,'Standardized Data'!$B$2:$B$255,$A10,'Standardized Data'!$A$2:$A$255,"Jan-2025"))</f>
        <v>1787.16145133333</v>
      </c>
      <c r="G10" s="3">
        <f>IF(SUMIFS('Standardized Data'!$G$2:$G$255,'Standardized Data'!$B$2:$B$255,$A10,'Standardized Data'!$A$2:$A$255,"Feb-2025")=0,"",SUMIFS('Standardized Data'!$G$2:$G$255,'Standardized Data'!$B$2:$B$255,$A10,'Standardized Data'!$A$2:$A$255,"Feb-2025"))</f>
        <v>1838.5928269118201</v>
      </c>
      <c r="H10" s="3">
        <f>IF(SUMIFS('Standardized Data'!$G$2:$G$255,'Standardized Data'!$B$2:$B$255,$A10,'Standardized Data'!$A$2:$A$255,"Mar-2025")=0,"",SUMIFS('Standardized Data'!$G$2:$G$255,'Standardized Data'!$B$2:$B$255,$A10,'Standardized Data'!$A$2:$A$255,"Mar-2025"))</f>
        <v>1947.04973768073</v>
      </c>
      <c r="I10" s="3">
        <f>IF(SUMIFS('Standardized Data'!$G$2:$G$255,'Standardized Data'!$B$2:$B$255,$A10,'Standardized Data'!$A$2:$A$255,"Apr-2025")=0,"",SUMIFS('Standardized Data'!$G$2:$G$255,'Standardized Data'!$B$2:$B$255,$A10,'Standardized Data'!$A$2:$A$255,"Apr-2025"))</f>
        <v>1931.31785704035</v>
      </c>
      <c r="J10" s="4">
        <f>IFERROR(AVERAGEIFS('Standardized Data'!$H$2:$H$255,'Standardized Data'!$B$2:$B$255,$A10),"")</f>
        <v>2.6562492905849804</v>
      </c>
      <c r="K10" s="4" t="str">
        <f>IFERROR(AVERAGEIFS('Standardized Data'!$I$2:$I$255,'Standardized Data'!$B$2:$B$255,$A10),"")</f>
        <v/>
      </c>
      <c r="L10" s="3">
        <f t="shared" si="0"/>
        <v>1931.31785704035</v>
      </c>
    </row>
    <row r="11" spans="1:12" x14ac:dyDescent="0.25">
      <c r="A11" s="2" t="s">
        <v>165</v>
      </c>
      <c r="B11" s="2" t="str">
        <f>IFERROR(INDEX('Standardized Data'!$D$2:$D$255,MATCH($A11,'Standardized Data'!$B$2:$B$255,0)),"")</f>
        <v>Confirmed</v>
      </c>
      <c r="C11" s="2">
        <f>COUNTIF('Standardized Data'!$B$2:$B$255,$A11)</f>
        <v>6</v>
      </c>
      <c r="D11" s="3">
        <f>IF(SUMIFS('Standardized Data'!$G$2:$G$255,'Standardized Data'!$B$2:$B$255,$A11,'Standardized Data'!$A$2:$A$255,"Nov-2024")=0,"",SUMIFS('Standardized Data'!$G$2:$G$255,'Standardized Data'!$B$2:$B$255,$A11,'Standardized Data'!$A$2:$A$255,"Nov-2024"))</f>
        <v>4259.9869529958096</v>
      </c>
      <c r="E11" s="3">
        <f>IF(SUMIFS('Standardized Data'!$G$2:$G$255,'Standardized Data'!$B$2:$B$255,$A11,'Standardized Data'!$A$2:$A$255,"Dec-2024")=0,"",SUMIFS('Standardized Data'!$G$2:$G$255,'Standardized Data'!$B$2:$B$255,$A11,'Standardized Data'!$A$2:$A$255,"Dec-2024"))</f>
        <v>4347.44455117503</v>
      </c>
      <c r="F11" s="3">
        <f>IF(SUMIFS('Standardized Data'!$G$2:$G$255,'Standardized Data'!$B$2:$B$255,$A11,'Standardized Data'!$A$2:$A$255,"Jan-2025")=0,"",SUMIFS('Standardized Data'!$G$2:$G$255,'Standardized Data'!$B$2:$B$255,$A11,'Standardized Data'!$A$2:$A$255,"Jan-2025"))</f>
        <v>5226.8705778404701</v>
      </c>
      <c r="G11" s="3">
        <f>IF(SUMIFS('Standardized Data'!$G$2:$G$255,'Standardized Data'!$B$2:$B$255,$A11,'Standardized Data'!$A$2:$A$255,"Feb-2025")=0,"",SUMIFS('Standardized Data'!$G$2:$G$255,'Standardized Data'!$B$2:$B$255,$A11,'Standardized Data'!$A$2:$A$255,"Feb-2025"))</f>
        <v>5284.3595413749999</v>
      </c>
      <c r="H11" s="3">
        <f>IF(SUMIFS('Standardized Data'!$G$2:$G$255,'Standardized Data'!$B$2:$B$255,$A11,'Standardized Data'!$A$2:$A$255,"Mar-2025")=0,"",SUMIFS('Standardized Data'!$G$2:$G$255,'Standardized Data'!$B$2:$B$255,$A11,'Standardized Data'!$A$2:$A$255,"Mar-2025"))</f>
        <v>5507.1099405631503</v>
      </c>
      <c r="I11" s="3">
        <f>IF(SUMIFS('Standardized Data'!$G$2:$G$255,'Standardized Data'!$B$2:$B$255,$A11,'Standardized Data'!$A$2:$A$255,"Apr-2025")=0,"",SUMIFS('Standardized Data'!$G$2:$G$255,'Standardized Data'!$B$2:$B$255,$A11,'Standardized Data'!$A$2:$A$255,"Apr-2025"))</f>
        <v>5572.49342258056</v>
      </c>
      <c r="J11" s="4">
        <f>IFERROR(AVERAGEIFS('Standardized Data'!$H$2:$H$255,'Standardized Data'!$B$2:$B$255,$A11),"")</f>
        <v>5.2442352424552343</v>
      </c>
      <c r="K11" s="4">
        <f>IFERROR(AVERAGEIFS('Standardized Data'!$I$2:$I$255,'Standardized Data'!$B$2:$B$255,$A11),"")</f>
        <v>89.230786337498088</v>
      </c>
      <c r="L11" s="3">
        <f t="shared" si="0"/>
        <v>5572.49342258056</v>
      </c>
    </row>
    <row r="12" spans="1:12" x14ac:dyDescent="0.25">
      <c r="A12" s="2" t="s">
        <v>179</v>
      </c>
      <c r="B12" s="2" t="str">
        <f>IFERROR(INDEX('Standardized Data'!$D$2:$D$255,MATCH($A12,'Standardized Data'!$B$2:$B$255,0)),"")</f>
        <v>Discontinued</v>
      </c>
      <c r="C12" s="2">
        <f>COUNTIF('Standardized Data'!$B$2:$B$255,$A12)</f>
        <v>2</v>
      </c>
      <c r="D12" s="3">
        <f>IF(SUMIFS('Standardized Data'!$G$2:$G$255,'Standardized Data'!$B$2:$B$255,$A12,'Standardized Data'!$A$2:$A$255,"Nov-2024")=0,"",SUMIFS('Standardized Data'!$G$2:$G$255,'Standardized Data'!$B$2:$B$255,$A12,'Standardized Data'!$A$2:$A$255,"Nov-2024"))</f>
        <v>5787.7444950687704</v>
      </c>
      <c r="E12" s="3">
        <f>IF(SUMIFS('Standardized Data'!$G$2:$G$255,'Standardized Data'!$B$2:$B$255,$A12,'Standardized Data'!$A$2:$A$255,"Dec-2024")=0,"",SUMIFS('Standardized Data'!$G$2:$G$255,'Standardized Data'!$B$2:$B$255,$A12,'Standardized Data'!$A$2:$A$255,"Dec-2024"))</f>
        <v>6044.0788060269097</v>
      </c>
      <c r="F12" s="3" t="str">
        <f>IF(SUMIFS('Standardized Data'!$G$2:$G$255,'Standardized Data'!$B$2:$B$255,$A12,'Standardized Data'!$A$2:$A$255,"Jan-2025")=0,"",SUMIFS('Standardized Data'!$G$2:$G$255,'Standardized Data'!$B$2:$B$255,$A12,'Standardized Data'!$A$2:$A$255,"Jan-2025"))</f>
        <v/>
      </c>
      <c r="G12" s="3" t="str">
        <f>IF(SUMIFS('Standardized Data'!$G$2:$G$255,'Standardized Data'!$B$2:$B$255,$A12,'Standardized Data'!$A$2:$A$255,"Feb-2025")=0,"",SUMIFS('Standardized Data'!$G$2:$G$255,'Standardized Data'!$B$2:$B$255,$A12,'Standardized Data'!$A$2:$A$255,"Feb-2025"))</f>
        <v/>
      </c>
      <c r="H12" s="3" t="str">
        <f>IF(SUMIFS('Standardized Data'!$G$2:$G$255,'Standardized Data'!$B$2:$B$255,$A12,'Standardized Data'!$A$2:$A$255,"Mar-2025")=0,"",SUMIFS('Standardized Data'!$G$2:$G$255,'Standardized Data'!$B$2:$B$255,$A12,'Standardized Data'!$A$2:$A$255,"Mar-2025"))</f>
        <v/>
      </c>
      <c r="I12" s="3" t="str">
        <f>IF(SUMIFS('Standardized Data'!$G$2:$G$255,'Standardized Data'!$B$2:$B$255,$A12,'Standardized Data'!$A$2:$A$255,"Apr-2025")=0,"",SUMIFS('Standardized Data'!$G$2:$G$255,'Standardized Data'!$B$2:$B$255,$A12,'Standardized Data'!$A$2:$A$255,"Apr-2025"))</f>
        <v/>
      </c>
      <c r="J12" s="4">
        <f>IFERROR(AVERAGEIFS('Standardized Data'!$H$2:$H$255,'Standardized Data'!$B$2:$B$255,$A12),"")</f>
        <v>4.1556295245745547</v>
      </c>
      <c r="K12" s="4">
        <f>IFERROR(AVERAGEIFS('Standardized Data'!$I$2:$I$255,'Standardized Data'!$B$2:$B$255,$A12),"")</f>
        <v>78.326961991932549</v>
      </c>
      <c r="L12" s="3">
        <f t="shared" si="0"/>
        <v>6044.0788060269097</v>
      </c>
    </row>
    <row r="13" spans="1:12" x14ac:dyDescent="0.25">
      <c r="A13" s="2" t="s">
        <v>186</v>
      </c>
      <c r="B13" s="2" t="str">
        <f>IFERROR(INDEX('Standardized Data'!$D$2:$D$255,MATCH($A13,'Standardized Data'!$B$2:$B$255,0)),"")</f>
        <v>Discontinued</v>
      </c>
      <c r="C13" s="2">
        <f>COUNTIF('Standardized Data'!$B$2:$B$255,$A13)</f>
        <v>2</v>
      </c>
      <c r="D13" s="3">
        <f>IF(SUMIFS('Standardized Data'!$G$2:$G$255,'Standardized Data'!$B$2:$B$255,$A13,'Standardized Data'!$A$2:$A$255,"Nov-2024")=0,"",SUMIFS('Standardized Data'!$G$2:$G$255,'Standardized Data'!$B$2:$B$255,$A13,'Standardized Data'!$A$2:$A$255,"Nov-2024"))</f>
        <v>4352.7683447761101</v>
      </c>
      <c r="E13" s="3">
        <f>IF(SUMIFS('Standardized Data'!$G$2:$G$255,'Standardized Data'!$B$2:$B$255,$A13,'Standardized Data'!$A$2:$A$255,"Dec-2024")=0,"",SUMIFS('Standardized Data'!$G$2:$G$255,'Standardized Data'!$B$2:$B$255,$A13,'Standardized Data'!$A$2:$A$255,"Dec-2024"))</f>
        <v>4475.0963655916903</v>
      </c>
      <c r="F13" s="3" t="str">
        <f>IF(SUMIFS('Standardized Data'!$G$2:$G$255,'Standardized Data'!$B$2:$B$255,$A13,'Standardized Data'!$A$2:$A$255,"Jan-2025")=0,"",SUMIFS('Standardized Data'!$G$2:$G$255,'Standardized Data'!$B$2:$B$255,$A13,'Standardized Data'!$A$2:$A$255,"Jan-2025"))</f>
        <v/>
      </c>
      <c r="G13" s="3" t="str">
        <f>IF(SUMIFS('Standardized Data'!$G$2:$G$255,'Standardized Data'!$B$2:$B$255,$A13,'Standardized Data'!$A$2:$A$255,"Feb-2025")=0,"",SUMIFS('Standardized Data'!$G$2:$G$255,'Standardized Data'!$B$2:$B$255,$A13,'Standardized Data'!$A$2:$A$255,"Feb-2025"))</f>
        <v/>
      </c>
      <c r="H13" s="3" t="str">
        <f>IF(SUMIFS('Standardized Data'!$G$2:$G$255,'Standardized Data'!$B$2:$B$255,$A13,'Standardized Data'!$A$2:$A$255,"Mar-2025")=0,"",SUMIFS('Standardized Data'!$G$2:$G$255,'Standardized Data'!$B$2:$B$255,$A13,'Standardized Data'!$A$2:$A$255,"Mar-2025"))</f>
        <v/>
      </c>
      <c r="I13" s="3" t="str">
        <f>IF(SUMIFS('Standardized Data'!$G$2:$G$255,'Standardized Data'!$B$2:$B$255,$A13,'Standardized Data'!$A$2:$A$255,"Apr-2025")=0,"",SUMIFS('Standardized Data'!$G$2:$G$255,'Standardized Data'!$B$2:$B$255,$A13,'Standardized Data'!$A$2:$A$255,"Apr-2025"))</f>
        <v/>
      </c>
      <c r="J13" s="4">
        <f>IFERROR(AVERAGEIFS('Standardized Data'!$H$2:$H$255,'Standardized Data'!$B$2:$B$255,$A13),"")</f>
        <v>2.735137080207215</v>
      </c>
      <c r="K13" s="4">
        <f>IFERROR(AVERAGEIFS('Standardized Data'!$I$2:$I$255,'Standardized Data'!$B$2:$B$255,$A13),"")</f>
        <v>55.252702585392598</v>
      </c>
      <c r="L13" s="3">
        <f t="shared" si="0"/>
        <v>4475.0963655916903</v>
      </c>
    </row>
    <row r="14" spans="1:12" x14ac:dyDescent="0.25">
      <c r="A14" s="2" t="s">
        <v>192</v>
      </c>
      <c r="B14" s="2" t="str">
        <f>IFERROR(INDEX('Standardized Data'!$D$2:$D$255,MATCH($A14,'Standardized Data'!$B$2:$B$255,0)),"")</f>
        <v>Confirmed</v>
      </c>
      <c r="C14" s="2">
        <f>COUNTIF('Standardized Data'!$B$2:$B$255,$A14)</f>
        <v>6</v>
      </c>
      <c r="D14" s="3">
        <f>IF(SUMIFS('Standardized Data'!$G$2:$G$255,'Standardized Data'!$B$2:$B$255,$A14,'Standardized Data'!$A$2:$A$255,"Nov-2024")=0,"",SUMIFS('Standardized Data'!$G$2:$G$255,'Standardized Data'!$B$2:$B$255,$A14,'Standardized Data'!$A$2:$A$255,"Nov-2024"))</f>
        <v>4316.4129177333898</v>
      </c>
      <c r="E14" s="3">
        <f>IF(SUMIFS('Standardized Data'!$G$2:$G$255,'Standardized Data'!$B$2:$B$255,$A14,'Standardized Data'!$A$2:$A$255,"Dec-2024")=0,"",SUMIFS('Standardized Data'!$G$2:$G$255,'Standardized Data'!$B$2:$B$255,$A14,'Standardized Data'!$A$2:$A$255,"Dec-2024"))</f>
        <v>4422.8021562329404</v>
      </c>
      <c r="F14" s="3">
        <f>IF(SUMIFS('Standardized Data'!$G$2:$G$255,'Standardized Data'!$B$2:$B$255,$A14,'Standardized Data'!$A$2:$A$255,"Jan-2025")=0,"",SUMIFS('Standardized Data'!$G$2:$G$255,'Standardized Data'!$B$2:$B$255,$A14,'Standardized Data'!$A$2:$A$255,"Jan-2025"))</f>
        <v>4340.1077806622197</v>
      </c>
      <c r="G14" s="3">
        <f>IF(SUMIFS('Standardized Data'!$G$2:$G$255,'Standardized Data'!$B$2:$B$255,$A14,'Standardized Data'!$A$2:$A$255,"Feb-2025")=0,"",SUMIFS('Standardized Data'!$G$2:$G$255,'Standardized Data'!$B$2:$B$255,$A14,'Standardized Data'!$A$2:$A$255,"Feb-2025"))</f>
        <v>4394.4053790468497</v>
      </c>
      <c r="H14" s="3">
        <f>IF(SUMIFS('Standardized Data'!$G$2:$G$255,'Standardized Data'!$B$2:$B$255,$A14,'Standardized Data'!$A$2:$A$255,"Mar-2025")=0,"",SUMIFS('Standardized Data'!$G$2:$G$255,'Standardized Data'!$B$2:$B$255,$A14,'Standardized Data'!$A$2:$A$255,"Mar-2025"))</f>
        <v>4671.3133143490404</v>
      </c>
      <c r="I14" s="3">
        <f>IF(SUMIFS('Standardized Data'!$G$2:$G$255,'Standardized Data'!$B$2:$B$255,$A14,'Standardized Data'!$A$2:$A$255,"Apr-2025")=0,"",SUMIFS('Standardized Data'!$G$2:$G$255,'Standardized Data'!$B$2:$B$255,$A14,'Standardized Data'!$A$2:$A$255,"Apr-2025"))</f>
        <v>4771.9236733382304</v>
      </c>
      <c r="J14" s="4">
        <f>IFERROR(AVERAGEIFS('Standardized Data'!$H$2:$H$255,'Standardized Data'!$B$2:$B$255,$A14),"")</f>
        <v>2.2034764381377916</v>
      </c>
      <c r="K14" s="4">
        <f>IFERROR(AVERAGEIFS('Standardized Data'!$I$2:$I$255,'Standardized Data'!$B$2:$B$255,$A14),"")</f>
        <v>73.068212407228927</v>
      </c>
      <c r="L14" s="3">
        <f t="shared" si="0"/>
        <v>4771.9236733382304</v>
      </c>
    </row>
    <row r="15" spans="1:12" x14ac:dyDescent="0.25">
      <c r="A15" s="2" t="s">
        <v>205</v>
      </c>
      <c r="B15" s="2" t="str">
        <f>IFERROR(INDEX('Standardized Data'!$D$2:$D$255,MATCH($A15,'Standardized Data'!$B$2:$B$255,0)),"")</f>
        <v>Confirmed</v>
      </c>
      <c r="C15" s="2">
        <f>COUNTIF('Standardized Data'!$B$2:$B$255,$A15)</f>
        <v>6</v>
      </c>
      <c r="D15" s="3">
        <f>IF(SUMIFS('Standardized Data'!$G$2:$G$255,'Standardized Data'!$B$2:$B$255,$A15,'Standardized Data'!$A$2:$A$255,"Nov-2024")=0,"",SUMIFS('Standardized Data'!$G$2:$G$255,'Standardized Data'!$B$2:$B$255,$A15,'Standardized Data'!$A$2:$A$255,"Nov-2024"))</f>
        <v>3336.7032495405501</v>
      </c>
      <c r="E15" s="3">
        <f>IF(SUMIFS('Standardized Data'!$G$2:$G$255,'Standardized Data'!$B$2:$B$255,$A15,'Standardized Data'!$A$2:$A$255,"Dec-2024")=0,"",SUMIFS('Standardized Data'!$G$2:$G$255,'Standardized Data'!$B$2:$B$255,$A15,'Standardized Data'!$A$2:$A$255,"Dec-2024"))</f>
        <v>3397.83335015904</v>
      </c>
      <c r="F15" s="3">
        <f>IF(SUMIFS('Standardized Data'!$G$2:$G$255,'Standardized Data'!$B$2:$B$255,$A15,'Standardized Data'!$A$2:$A$255,"Jan-2025")=0,"",SUMIFS('Standardized Data'!$G$2:$G$255,'Standardized Data'!$B$2:$B$255,$A15,'Standardized Data'!$A$2:$A$255,"Jan-2025"))</f>
        <v>3293.6295746176602</v>
      </c>
      <c r="G15" s="3">
        <f>IF(SUMIFS('Standardized Data'!$G$2:$G$255,'Standardized Data'!$B$2:$B$255,$A15,'Standardized Data'!$A$2:$A$255,"Feb-2025")=0,"",SUMIFS('Standardized Data'!$G$2:$G$255,'Standardized Data'!$B$2:$B$255,$A15,'Standardized Data'!$A$2:$A$255,"Feb-2025"))</f>
        <v>3346.6242356636099</v>
      </c>
      <c r="H15" s="3">
        <f>IF(SUMIFS('Standardized Data'!$G$2:$G$255,'Standardized Data'!$B$2:$B$255,$A15,'Standardized Data'!$A$2:$A$255,"Mar-2025")=0,"",SUMIFS('Standardized Data'!$G$2:$G$255,'Standardized Data'!$B$2:$B$255,$A15,'Standardized Data'!$A$2:$A$255,"Mar-2025"))</f>
        <v>3487.0587798892602</v>
      </c>
      <c r="I15" s="3">
        <f>IF(SUMIFS('Standardized Data'!$G$2:$G$255,'Standardized Data'!$B$2:$B$255,$A15,'Standardized Data'!$A$2:$A$255,"Apr-2025")=0,"",SUMIFS('Standardized Data'!$G$2:$G$255,'Standardized Data'!$B$2:$B$255,$A15,'Standardized Data'!$A$2:$A$255,"Apr-2025"))</f>
        <v>3502.69704413096</v>
      </c>
      <c r="J15" s="4">
        <f>IFERROR(AVERAGEIFS('Standardized Data'!$H$2:$H$255,'Standardized Data'!$B$2:$B$255,$A15),"")</f>
        <v>1.1888497121616379</v>
      </c>
      <c r="K15" s="4">
        <f>IFERROR(AVERAGEIFS('Standardized Data'!$I$2:$I$255,'Standardized Data'!$B$2:$B$255,$A15),"")</f>
        <v>56.69628876629335</v>
      </c>
      <c r="L15" s="3">
        <f t="shared" si="0"/>
        <v>3502.69704413096</v>
      </c>
    </row>
    <row r="16" spans="1:12" x14ac:dyDescent="0.25">
      <c r="A16" s="2" t="s">
        <v>216</v>
      </c>
      <c r="B16" s="2" t="str">
        <f>IFERROR(INDEX('Standardized Data'!$D$2:$D$255,MATCH($A16,'Standardized Data'!$B$2:$B$255,0)),"")</f>
        <v>Confirmed</v>
      </c>
      <c r="C16" s="2">
        <f>COUNTIF('Standardized Data'!$B$2:$B$255,$A16)</f>
        <v>6</v>
      </c>
      <c r="D16" s="3">
        <f>IF(SUMIFS('Standardized Data'!$G$2:$G$255,'Standardized Data'!$B$2:$B$255,$A16,'Standardized Data'!$A$2:$A$255,"Nov-2024")=0,"",SUMIFS('Standardized Data'!$G$2:$G$255,'Standardized Data'!$B$2:$B$255,$A16,'Standardized Data'!$A$2:$A$255,"Nov-2024"))</f>
        <v>6130.51459408545</v>
      </c>
      <c r="E16" s="3">
        <f>IF(SUMIFS('Standardized Data'!$G$2:$G$255,'Standardized Data'!$B$2:$B$255,$A16,'Standardized Data'!$A$2:$A$255,"Dec-2024")=0,"",SUMIFS('Standardized Data'!$G$2:$G$255,'Standardized Data'!$B$2:$B$255,$A16,'Standardized Data'!$A$2:$A$255,"Dec-2024"))</f>
        <v>6473.80641713777</v>
      </c>
      <c r="F16" s="3">
        <f>IF(SUMIFS('Standardized Data'!$G$2:$G$255,'Standardized Data'!$B$2:$B$255,$A16,'Standardized Data'!$A$2:$A$255,"Jan-2025")=0,"",SUMIFS('Standardized Data'!$G$2:$G$255,'Standardized Data'!$B$2:$B$255,$A16,'Standardized Data'!$A$2:$A$255,"Jan-2025"))</f>
        <v>5497.0311353705501</v>
      </c>
      <c r="G16" s="3">
        <f>IF(SUMIFS('Standardized Data'!$G$2:$G$255,'Standardized Data'!$B$2:$B$255,$A16,'Standardized Data'!$A$2:$A$255,"Feb-2025")=0,"",SUMIFS('Standardized Data'!$G$2:$G$255,'Standardized Data'!$B$2:$B$255,$A16,'Standardized Data'!$A$2:$A$255,"Feb-2025"))</f>
        <v>5552.7027027026998</v>
      </c>
      <c r="H16" s="3">
        <f>IF(SUMIFS('Standardized Data'!$G$2:$G$255,'Standardized Data'!$B$2:$B$255,$A16,'Standardized Data'!$A$2:$A$255,"Mar-2025")=0,"",SUMIFS('Standardized Data'!$G$2:$G$255,'Standardized Data'!$B$2:$B$255,$A16,'Standardized Data'!$A$2:$A$255,"Mar-2025"))</f>
        <v>5675.6756756756804</v>
      </c>
      <c r="I16" s="3">
        <f>IF(SUMIFS('Standardized Data'!$G$2:$G$255,'Standardized Data'!$B$2:$B$255,$A16,'Standardized Data'!$A$2:$A$255,"Apr-2025")=0,"",SUMIFS('Standardized Data'!$G$2:$G$255,'Standardized Data'!$B$2:$B$255,$A16,'Standardized Data'!$A$2:$A$255,"Apr-2025"))</f>
        <v>5740.1492438265304</v>
      </c>
      <c r="J16" s="4">
        <f>IFERROR(AVERAGEIFS('Standardized Data'!$H$2:$H$255,'Standardized Data'!$B$2:$B$255,$A16),"")</f>
        <v>-0.41171912187968013</v>
      </c>
      <c r="K16" s="4">
        <f>IFERROR(AVERAGEIFS('Standardized Data'!$I$2:$I$255,'Standardized Data'!$B$2:$B$255,$A16),"")</f>
        <v>41.20292543417645</v>
      </c>
      <c r="L16" s="3">
        <f t="shared" si="0"/>
        <v>5740.1492438265304</v>
      </c>
    </row>
    <row r="17" spans="1:12" x14ac:dyDescent="0.25">
      <c r="A17" s="2" t="s">
        <v>230</v>
      </c>
      <c r="B17" s="2" t="str">
        <f>IFERROR(INDEX('Standardized Data'!$D$2:$D$255,MATCH($A17,'Standardized Data'!$B$2:$B$255,0)),"")</f>
        <v>New (2025)</v>
      </c>
      <c r="C17" s="2">
        <f>COUNTIF('Standardized Data'!$B$2:$B$255,$A17)</f>
        <v>4</v>
      </c>
      <c r="D17" s="3" t="str">
        <f>IF(SUMIFS('Standardized Data'!$G$2:$G$255,'Standardized Data'!$B$2:$B$255,$A17,'Standardized Data'!$A$2:$A$255,"Nov-2024")=0,"",SUMIFS('Standardized Data'!$G$2:$G$255,'Standardized Data'!$B$2:$B$255,$A17,'Standardized Data'!$A$2:$A$255,"Nov-2024"))</f>
        <v/>
      </c>
      <c r="E17" s="3" t="str">
        <f>IF(SUMIFS('Standardized Data'!$G$2:$G$255,'Standardized Data'!$B$2:$B$255,$A17,'Standardized Data'!$A$2:$A$255,"Dec-2024")=0,"",SUMIFS('Standardized Data'!$G$2:$G$255,'Standardized Data'!$B$2:$B$255,$A17,'Standardized Data'!$A$2:$A$255,"Dec-2024"))</f>
        <v/>
      </c>
      <c r="F17" s="3">
        <f>IF(SUMIFS('Standardized Data'!$G$2:$G$255,'Standardized Data'!$B$2:$B$255,$A17,'Standardized Data'!$A$2:$A$255,"Jan-2025")=0,"",SUMIFS('Standardized Data'!$G$2:$G$255,'Standardized Data'!$B$2:$B$255,$A17,'Standardized Data'!$A$2:$A$255,"Jan-2025"))</f>
        <v>6227.0407199211704</v>
      </c>
      <c r="G17" s="3">
        <f>IF(SUMIFS('Standardized Data'!$G$2:$G$255,'Standardized Data'!$B$2:$B$255,$A17,'Standardized Data'!$A$2:$A$255,"Feb-2025")=0,"",SUMIFS('Standardized Data'!$G$2:$G$255,'Standardized Data'!$B$2:$B$255,$A17,'Standardized Data'!$A$2:$A$255,"Feb-2025"))</f>
        <v>6440.4410828017999</v>
      </c>
      <c r="H17" s="3">
        <f>IF(SUMIFS('Standardized Data'!$G$2:$G$255,'Standardized Data'!$B$2:$B$255,$A17,'Standardized Data'!$A$2:$A$255,"Mar-2025")=0,"",SUMIFS('Standardized Data'!$G$2:$G$255,'Standardized Data'!$B$2:$B$255,$A17,'Standardized Data'!$A$2:$A$255,"Mar-2025"))</f>
        <v>6657.0025353562396</v>
      </c>
      <c r="I17" s="3">
        <f>IF(SUMIFS('Standardized Data'!$G$2:$G$255,'Standardized Data'!$B$2:$B$255,$A17,'Standardized Data'!$A$2:$A$255,"Apr-2025")=0,"",SUMIFS('Standardized Data'!$G$2:$G$255,'Standardized Data'!$B$2:$B$255,$A17,'Standardized Data'!$A$2:$A$255,"Apr-2025"))</f>
        <v>6655.6615288069197</v>
      </c>
      <c r="J17" s="4">
        <f>IFERROR(AVERAGEIFS('Standardized Data'!$H$2:$H$255,'Standardized Data'!$B$2:$B$255,$A17),"")</f>
        <v>2.2564585636791179</v>
      </c>
      <c r="K17" s="4" t="str">
        <f>IFERROR(AVERAGEIFS('Standardized Data'!$I$2:$I$255,'Standardized Data'!$B$2:$B$255,$A17),"")</f>
        <v/>
      </c>
      <c r="L17" s="3">
        <f t="shared" si="0"/>
        <v>6655.6615288069197</v>
      </c>
    </row>
    <row r="18" spans="1:12" x14ac:dyDescent="0.25">
      <c r="A18" s="2" t="s">
        <v>237</v>
      </c>
      <c r="B18" s="2" t="str">
        <f>IFERROR(INDEX('Standardized Data'!$D$2:$D$255,MATCH($A18,'Standardized Data'!$B$2:$B$255,0)),"")</f>
        <v>Discontinued</v>
      </c>
      <c r="C18" s="2">
        <f>COUNTIF('Standardized Data'!$B$2:$B$255,$A18)</f>
        <v>2</v>
      </c>
      <c r="D18" s="3">
        <f>IF(SUMIFS('Standardized Data'!$G$2:$G$255,'Standardized Data'!$B$2:$B$255,$A18,'Standardized Data'!$A$2:$A$255,"Nov-2024")=0,"",SUMIFS('Standardized Data'!$G$2:$G$255,'Standardized Data'!$B$2:$B$255,$A18,'Standardized Data'!$A$2:$A$255,"Nov-2024"))</f>
        <v>4766.5638775357702</v>
      </c>
      <c r="E18" s="3">
        <f>IF(SUMIFS('Standardized Data'!$G$2:$G$255,'Standardized Data'!$B$2:$B$255,$A18,'Standardized Data'!$A$2:$A$255,"Dec-2024")=0,"",SUMIFS('Standardized Data'!$G$2:$G$255,'Standardized Data'!$B$2:$B$255,$A18,'Standardized Data'!$A$2:$A$255,"Dec-2024"))</f>
        <v>4908.4226209077997</v>
      </c>
      <c r="F18" s="3" t="str">
        <f>IF(SUMIFS('Standardized Data'!$G$2:$G$255,'Standardized Data'!$B$2:$B$255,$A18,'Standardized Data'!$A$2:$A$255,"Jan-2025")=0,"",SUMIFS('Standardized Data'!$G$2:$G$255,'Standardized Data'!$B$2:$B$255,$A18,'Standardized Data'!$A$2:$A$255,"Jan-2025"))</f>
        <v/>
      </c>
      <c r="G18" s="3" t="str">
        <f>IF(SUMIFS('Standardized Data'!$G$2:$G$255,'Standardized Data'!$B$2:$B$255,$A18,'Standardized Data'!$A$2:$A$255,"Feb-2025")=0,"",SUMIFS('Standardized Data'!$G$2:$G$255,'Standardized Data'!$B$2:$B$255,$A18,'Standardized Data'!$A$2:$A$255,"Feb-2025"))</f>
        <v/>
      </c>
      <c r="H18" s="3" t="str">
        <f>IF(SUMIFS('Standardized Data'!$G$2:$G$255,'Standardized Data'!$B$2:$B$255,$A18,'Standardized Data'!$A$2:$A$255,"Mar-2025")=0,"",SUMIFS('Standardized Data'!$G$2:$G$255,'Standardized Data'!$B$2:$B$255,$A18,'Standardized Data'!$A$2:$A$255,"Mar-2025"))</f>
        <v/>
      </c>
      <c r="I18" s="3" t="str">
        <f>IF(SUMIFS('Standardized Data'!$G$2:$G$255,'Standardized Data'!$B$2:$B$255,$A18,'Standardized Data'!$A$2:$A$255,"Apr-2025")=0,"",SUMIFS('Standardized Data'!$G$2:$G$255,'Standardized Data'!$B$2:$B$255,$A18,'Standardized Data'!$A$2:$A$255,"Apr-2025"))</f>
        <v/>
      </c>
      <c r="J18" s="4">
        <f>IFERROR(AVERAGEIFS('Standardized Data'!$H$2:$H$255,'Standardized Data'!$B$2:$B$255,$A18),"")</f>
        <v>2.830369131835385</v>
      </c>
      <c r="K18" s="4">
        <f>IFERROR(AVERAGEIFS('Standardized Data'!$I$2:$I$255,'Standardized Data'!$B$2:$B$255,$A18),"")</f>
        <v>72.328704171125153</v>
      </c>
      <c r="L18" s="3">
        <f t="shared" si="0"/>
        <v>4908.4226209077997</v>
      </c>
    </row>
    <row r="19" spans="1:12" x14ac:dyDescent="0.25">
      <c r="A19" s="2" t="s">
        <v>242</v>
      </c>
      <c r="B19" s="2" t="str">
        <f>IFERROR(INDEX('Standardized Data'!$D$2:$D$255,MATCH($A19,'Standardized Data'!$B$2:$B$255,0)),"")</f>
        <v>New (2025)</v>
      </c>
      <c r="C19" s="2">
        <f>COUNTIF('Standardized Data'!$B$2:$B$255,$A19)</f>
        <v>4</v>
      </c>
      <c r="D19" s="3" t="str">
        <f>IF(SUMIFS('Standardized Data'!$G$2:$G$255,'Standardized Data'!$B$2:$B$255,$A19,'Standardized Data'!$A$2:$A$255,"Nov-2024")=0,"",SUMIFS('Standardized Data'!$G$2:$G$255,'Standardized Data'!$B$2:$B$255,$A19,'Standardized Data'!$A$2:$A$255,"Nov-2024"))</f>
        <v/>
      </c>
      <c r="E19" s="3" t="str">
        <f>IF(SUMIFS('Standardized Data'!$G$2:$G$255,'Standardized Data'!$B$2:$B$255,$A19,'Standardized Data'!$A$2:$A$255,"Dec-2024")=0,"",SUMIFS('Standardized Data'!$G$2:$G$255,'Standardized Data'!$B$2:$B$255,$A19,'Standardized Data'!$A$2:$A$255,"Dec-2024"))</f>
        <v/>
      </c>
      <c r="F19" s="3">
        <f>IF(SUMIFS('Standardized Data'!$G$2:$G$255,'Standardized Data'!$B$2:$B$255,$A19,'Standardized Data'!$A$2:$A$255,"Jan-2025")=0,"",SUMIFS('Standardized Data'!$G$2:$G$255,'Standardized Data'!$B$2:$B$255,$A19,'Standardized Data'!$A$2:$A$255,"Jan-2025"))</f>
        <v>6131.9801153648596</v>
      </c>
      <c r="G19" s="3">
        <f>IF(SUMIFS('Standardized Data'!$G$2:$G$255,'Standardized Data'!$B$2:$B$255,$A19,'Standardized Data'!$A$2:$A$255,"Feb-2025")=0,"",SUMIFS('Standardized Data'!$G$2:$G$255,'Standardized Data'!$B$2:$B$255,$A19,'Standardized Data'!$A$2:$A$255,"Feb-2025"))</f>
        <v>6160.0213093243201</v>
      </c>
      <c r="H19" s="3">
        <f>IF(SUMIFS('Standardized Data'!$G$2:$G$255,'Standardized Data'!$B$2:$B$255,$A19,'Standardized Data'!$A$2:$A$255,"Mar-2025")=0,"",SUMIFS('Standardized Data'!$G$2:$G$255,'Standardized Data'!$B$2:$B$255,$A19,'Standardized Data'!$A$2:$A$255,"Mar-2025"))</f>
        <v>6493.7843284955397</v>
      </c>
      <c r="I19" s="3">
        <f>IF(SUMIFS('Standardized Data'!$G$2:$G$255,'Standardized Data'!$B$2:$B$255,$A19,'Standardized Data'!$A$2:$A$255,"Apr-2025")=0,"",SUMIFS('Standardized Data'!$G$2:$G$255,'Standardized Data'!$B$2:$B$255,$A19,'Standardized Data'!$A$2:$A$255,"Apr-2025"))</f>
        <v>6657.7427764140602</v>
      </c>
      <c r="J19" s="4">
        <f>IFERROR(AVERAGEIFS('Standardized Data'!$H$2:$H$255,'Standardized Data'!$B$2:$B$255,$A19),"")</f>
        <v>2.8001194765785837</v>
      </c>
      <c r="K19" s="4" t="str">
        <f>IFERROR(AVERAGEIFS('Standardized Data'!$I$2:$I$255,'Standardized Data'!$B$2:$B$255,$A19),"")</f>
        <v/>
      </c>
      <c r="L19" s="3">
        <f t="shared" si="0"/>
        <v>6657.7427764140602</v>
      </c>
    </row>
    <row r="20" spans="1:12" x14ac:dyDescent="0.25">
      <c r="A20" s="2" t="s">
        <v>251</v>
      </c>
      <c r="B20" s="2" t="str">
        <f>IFERROR(INDEX('Standardized Data'!$D$2:$D$255,MATCH($A20,'Standardized Data'!$B$2:$B$255,0)),"")</f>
        <v>Confirmed</v>
      </c>
      <c r="C20" s="2">
        <f>COUNTIF('Standardized Data'!$B$2:$B$255,$A20)</f>
        <v>6</v>
      </c>
      <c r="D20" s="3">
        <f>IF(SUMIFS('Standardized Data'!$G$2:$G$255,'Standardized Data'!$B$2:$B$255,$A20,'Standardized Data'!$A$2:$A$255,"Nov-2024")=0,"",SUMIFS('Standardized Data'!$G$2:$G$255,'Standardized Data'!$B$2:$B$255,$A20,'Standardized Data'!$A$2:$A$255,"Nov-2024"))</f>
        <v>1311.0286836146099</v>
      </c>
      <c r="E20" s="3">
        <f>IF(SUMIFS('Standardized Data'!$G$2:$G$255,'Standardized Data'!$B$2:$B$255,$A20,'Standardized Data'!$A$2:$A$255,"Dec-2024")=0,"",SUMIFS('Standardized Data'!$G$2:$G$255,'Standardized Data'!$B$2:$B$255,$A20,'Standardized Data'!$A$2:$A$255,"Dec-2024"))</f>
        <v>1296.9267315173299</v>
      </c>
      <c r="F20" s="3">
        <f>IF(SUMIFS('Standardized Data'!$G$2:$G$255,'Standardized Data'!$B$2:$B$255,$A20,'Standardized Data'!$A$2:$A$255,"Jan-2025")=0,"",SUMIFS('Standardized Data'!$G$2:$G$255,'Standardized Data'!$B$2:$B$255,$A20,'Standardized Data'!$A$2:$A$255,"Jan-2025"))</f>
        <v>1358.95841842142</v>
      </c>
      <c r="G20" s="3">
        <f>IF(SUMIFS('Standardized Data'!$G$2:$G$255,'Standardized Data'!$B$2:$B$255,$A20,'Standardized Data'!$A$2:$A$255,"Feb-2025")=0,"",SUMIFS('Standardized Data'!$G$2:$G$255,'Standardized Data'!$B$2:$B$255,$A20,'Standardized Data'!$A$2:$A$255,"Feb-2025"))</f>
        <v>1378.1547063621399</v>
      </c>
      <c r="H20" s="3">
        <f>IF(SUMIFS('Standardized Data'!$G$2:$G$255,'Standardized Data'!$B$2:$B$255,$A20,'Standardized Data'!$A$2:$A$255,"Mar-2025")=0,"",SUMIFS('Standardized Data'!$G$2:$G$255,'Standardized Data'!$B$2:$B$255,$A20,'Standardized Data'!$A$2:$A$255,"Mar-2025"))</f>
        <v>1456.65126496469</v>
      </c>
      <c r="I20" s="3">
        <f>IF(SUMIFS('Standardized Data'!$G$2:$G$255,'Standardized Data'!$B$2:$B$255,$A20,'Standardized Data'!$A$2:$A$255,"Apr-2025")=0,"",SUMIFS('Standardized Data'!$G$2:$G$255,'Standardized Data'!$B$2:$B$255,$A20,'Standardized Data'!$A$2:$A$255,"Apr-2025"))</f>
        <v>1422.33984770236</v>
      </c>
      <c r="J20" s="4">
        <f>IFERROR(AVERAGEIFS('Standardized Data'!$H$2:$H$255,'Standardized Data'!$B$2:$B$255,$A20),"")</f>
        <v>1.998532111062217</v>
      </c>
      <c r="K20" s="4">
        <f>IFERROR(AVERAGEIFS('Standardized Data'!$I$2:$I$255,'Standardized Data'!$B$2:$B$255,$A20),"")</f>
        <v>96.72113708891915</v>
      </c>
      <c r="L20" s="3">
        <f t="shared" si="0"/>
        <v>1422.33984770236</v>
      </c>
    </row>
    <row r="21" spans="1:12" x14ac:dyDescent="0.25">
      <c r="A21" s="2" t="s">
        <v>266</v>
      </c>
      <c r="B21" s="2" t="str">
        <f>IFERROR(INDEX('Standardized Data'!$D$2:$D$255,MATCH($A21,'Standardized Data'!$B$2:$B$255,0)),"")</f>
        <v>Confirmed</v>
      </c>
      <c r="C21" s="2">
        <f>COUNTIF('Standardized Data'!$B$2:$B$255,$A21)</f>
        <v>6</v>
      </c>
      <c r="D21" s="3">
        <f>IF(SUMIFS('Standardized Data'!$G$2:$G$255,'Standardized Data'!$B$2:$B$255,$A21,'Standardized Data'!$A$2:$A$255,"Nov-2024")=0,"",SUMIFS('Standardized Data'!$G$2:$G$255,'Standardized Data'!$B$2:$B$255,$A21,'Standardized Data'!$A$2:$A$255,"Nov-2024"))</f>
        <v>1205.3885873745801</v>
      </c>
      <c r="E21" s="3">
        <f>IF(SUMIFS('Standardized Data'!$G$2:$G$255,'Standardized Data'!$B$2:$B$255,$A21,'Standardized Data'!$A$2:$A$255,"Dec-2024")=0,"",SUMIFS('Standardized Data'!$G$2:$G$255,'Standardized Data'!$B$2:$B$255,$A21,'Standardized Data'!$A$2:$A$255,"Dec-2024"))</f>
        <v>1184.7661828727901</v>
      </c>
      <c r="F21" s="3">
        <f>IF(SUMIFS('Standardized Data'!$G$2:$G$255,'Standardized Data'!$B$2:$B$255,$A21,'Standardized Data'!$A$2:$A$255,"Jan-2025")=0,"",SUMIFS('Standardized Data'!$G$2:$G$255,'Standardized Data'!$B$2:$B$255,$A21,'Standardized Data'!$A$2:$A$255,"Jan-2025"))</f>
        <v>1267.6348809931201</v>
      </c>
      <c r="G21" s="3">
        <f>IF(SUMIFS('Standardized Data'!$G$2:$G$255,'Standardized Data'!$B$2:$B$255,$A21,'Standardized Data'!$A$2:$A$255,"Feb-2025")=0,"",SUMIFS('Standardized Data'!$G$2:$G$255,'Standardized Data'!$B$2:$B$255,$A21,'Standardized Data'!$A$2:$A$255,"Feb-2025"))</f>
        <v>1277.24707039035</v>
      </c>
      <c r="H21" s="3">
        <f>IF(SUMIFS('Standardized Data'!$G$2:$G$255,'Standardized Data'!$B$2:$B$255,$A21,'Standardized Data'!$A$2:$A$255,"Mar-2025")=0,"",SUMIFS('Standardized Data'!$G$2:$G$255,'Standardized Data'!$B$2:$B$255,$A21,'Standardized Data'!$A$2:$A$255,"Mar-2025"))</f>
        <v>1362.95931475153</v>
      </c>
      <c r="I21" s="3">
        <f>IF(SUMIFS('Standardized Data'!$G$2:$G$255,'Standardized Data'!$B$2:$B$255,$A21,'Standardized Data'!$A$2:$A$255,"Apr-2025")=0,"",SUMIFS('Standardized Data'!$G$2:$G$255,'Standardized Data'!$B$2:$B$255,$A21,'Standardized Data'!$A$2:$A$255,"Apr-2025"))</f>
        <v>1345.0978505149001</v>
      </c>
      <c r="J21" s="4">
        <f>IFERROR(AVERAGEIFS('Standardized Data'!$H$2:$H$255,'Standardized Data'!$B$2:$B$255,$A21),"")</f>
        <v>2.0091562122117805</v>
      </c>
      <c r="K21" s="4">
        <f>IFERROR(AVERAGEIFS('Standardized Data'!$I$2:$I$255,'Standardized Data'!$B$2:$B$255,$A21),"")</f>
        <v>92.524530034602606</v>
      </c>
      <c r="L21" s="3">
        <f t="shared" si="0"/>
        <v>1345.0978505149001</v>
      </c>
    </row>
    <row r="22" spans="1:12" x14ac:dyDescent="0.25">
      <c r="A22" s="2" t="s">
        <v>280</v>
      </c>
      <c r="B22" s="2" t="str">
        <f>IFERROR(INDEX('Standardized Data'!$D$2:$D$255,MATCH($A22,'Standardized Data'!$B$2:$B$255,0)),"")</f>
        <v>New (2025)</v>
      </c>
      <c r="C22" s="2">
        <f>COUNTIF('Standardized Data'!$B$2:$B$255,$A22)</f>
        <v>4</v>
      </c>
      <c r="D22" s="3" t="str">
        <f>IF(SUMIFS('Standardized Data'!$G$2:$G$255,'Standardized Data'!$B$2:$B$255,$A22,'Standardized Data'!$A$2:$A$255,"Nov-2024")=0,"",SUMIFS('Standardized Data'!$G$2:$G$255,'Standardized Data'!$B$2:$B$255,$A22,'Standardized Data'!$A$2:$A$255,"Nov-2024"))</f>
        <v/>
      </c>
      <c r="E22" s="3" t="str">
        <f>IF(SUMIFS('Standardized Data'!$G$2:$G$255,'Standardized Data'!$B$2:$B$255,$A22,'Standardized Data'!$A$2:$A$255,"Dec-2024")=0,"",SUMIFS('Standardized Data'!$G$2:$G$255,'Standardized Data'!$B$2:$B$255,$A22,'Standardized Data'!$A$2:$A$255,"Dec-2024"))</f>
        <v/>
      </c>
      <c r="F22" s="3">
        <f>IF(SUMIFS('Standardized Data'!$G$2:$G$255,'Standardized Data'!$B$2:$B$255,$A22,'Standardized Data'!$A$2:$A$255,"Jan-2025")=0,"",SUMIFS('Standardized Data'!$G$2:$G$255,'Standardized Data'!$B$2:$B$255,$A22,'Standardized Data'!$A$2:$A$255,"Jan-2025"))</f>
        <v>4206.7995489414398</v>
      </c>
      <c r="G22" s="3">
        <f>IF(SUMIFS('Standardized Data'!$G$2:$G$255,'Standardized Data'!$B$2:$B$255,$A22,'Standardized Data'!$A$2:$A$255,"Feb-2025")=0,"",SUMIFS('Standardized Data'!$G$2:$G$255,'Standardized Data'!$B$2:$B$255,$A22,'Standardized Data'!$A$2:$A$255,"Feb-2025"))</f>
        <v>4371.8969465991004</v>
      </c>
      <c r="H22" s="3">
        <f>IF(SUMIFS('Standardized Data'!$G$2:$G$255,'Standardized Data'!$B$2:$B$255,$A22,'Standardized Data'!$A$2:$A$255,"Mar-2025")=0,"",SUMIFS('Standardized Data'!$G$2:$G$255,'Standardized Data'!$B$2:$B$255,$A22,'Standardized Data'!$A$2:$A$255,"Mar-2025"))</f>
        <v>4600.2308180510399</v>
      </c>
      <c r="I22" s="3">
        <f>IF(SUMIFS('Standardized Data'!$G$2:$G$255,'Standardized Data'!$B$2:$B$255,$A22,'Standardized Data'!$A$2:$A$255,"Apr-2025")=0,"",SUMIFS('Standardized Data'!$G$2:$G$255,'Standardized Data'!$B$2:$B$255,$A22,'Standardized Data'!$A$2:$A$255,"Apr-2025"))</f>
        <v>4970.65884257568</v>
      </c>
      <c r="J22" s="4">
        <f>IFERROR(AVERAGEIFS('Standardized Data'!$H$2:$H$255,'Standardized Data'!$B$2:$B$255,$A22),"")</f>
        <v>5.7332267287564536</v>
      </c>
      <c r="K22" s="4" t="str">
        <f>IFERROR(AVERAGEIFS('Standardized Data'!$I$2:$I$255,'Standardized Data'!$B$2:$B$255,$A22),"")</f>
        <v/>
      </c>
      <c r="L22" s="3">
        <f t="shared" si="0"/>
        <v>4970.65884257568</v>
      </c>
    </row>
    <row r="23" spans="1:12" x14ac:dyDescent="0.25">
      <c r="A23" s="2" t="s">
        <v>289</v>
      </c>
      <c r="B23" s="2" t="str">
        <f>IFERROR(INDEX('Standardized Data'!$D$2:$D$255,MATCH($A23,'Standardized Data'!$B$2:$B$255,0)),"")</f>
        <v>New (2025)</v>
      </c>
      <c r="C23" s="2">
        <f>COUNTIF('Standardized Data'!$B$2:$B$255,$A23)</f>
        <v>4</v>
      </c>
      <c r="D23" s="3" t="str">
        <f>IF(SUMIFS('Standardized Data'!$G$2:$G$255,'Standardized Data'!$B$2:$B$255,$A23,'Standardized Data'!$A$2:$A$255,"Nov-2024")=0,"",SUMIFS('Standardized Data'!$G$2:$G$255,'Standardized Data'!$B$2:$B$255,$A23,'Standardized Data'!$A$2:$A$255,"Nov-2024"))</f>
        <v/>
      </c>
      <c r="E23" s="3" t="str">
        <f>IF(SUMIFS('Standardized Data'!$G$2:$G$255,'Standardized Data'!$B$2:$B$255,$A23,'Standardized Data'!$A$2:$A$255,"Dec-2024")=0,"",SUMIFS('Standardized Data'!$G$2:$G$255,'Standardized Data'!$B$2:$B$255,$A23,'Standardized Data'!$A$2:$A$255,"Dec-2024"))</f>
        <v/>
      </c>
      <c r="F23" s="3">
        <f>IF(SUMIFS('Standardized Data'!$G$2:$G$255,'Standardized Data'!$B$2:$B$255,$A23,'Standardized Data'!$A$2:$A$255,"Jan-2025")=0,"",SUMIFS('Standardized Data'!$G$2:$G$255,'Standardized Data'!$B$2:$B$255,$A23,'Standardized Data'!$A$2:$A$255,"Jan-2025"))</f>
        <v>6202.3575047263503</v>
      </c>
      <c r="G23" s="3">
        <f>IF(SUMIFS('Standardized Data'!$G$2:$G$255,'Standardized Data'!$B$2:$B$255,$A23,'Standardized Data'!$A$2:$A$255,"Feb-2025")=0,"",SUMIFS('Standardized Data'!$G$2:$G$255,'Standardized Data'!$B$2:$B$255,$A23,'Standardized Data'!$A$2:$A$255,"Feb-2025"))</f>
        <v>6298.8933956085602</v>
      </c>
      <c r="H23" s="3">
        <f>IF(SUMIFS('Standardized Data'!$G$2:$G$255,'Standardized Data'!$B$2:$B$255,$A23,'Standardized Data'!$A$2:$A$255,"Mar-2025")=0,"",SUMIFS('Standardized Data'!$G$2:$G$255,'Standardized Data'!$B$2:$B$255,$A23,'Standardized Data'!$A$2:$A$255,"Mar-2025"))</f>
        <v>6892.4622955468003</v>
      </c>
      <c r="I23" s="3">
        <f>IF(SUMIFS('Standardized Data'!$G$2:$G$255,'Standardized Data'!$B$2:$B$255,$A23,'Standardized Data'!$A$2:$A$255,"Apr-2025")=0,"",SUMIFS('Standardized Data'!$G$2:$G$255,'Standardized Data'!$B$2:$B$255,$A23,'Standardized Data'!$A$2:$A$255,"Apr-2025"))</f>
        <v>6708.4527520461797</v>
      </c>
      <c r="J23" s="4">
        <f>IFERROR(AVERAGEIFS('Standardized Data'!$H$2:$H$255,'Standardized Data'!$B$2:$B$255,$A23),"")</f>
        <v>2.7700336792201861</v>
      </c>
      <c r="K23" s="4" t="str">
        <f>IFERROR(AVERAGEIFS('Standardized Data'!$I$2:$I$255,'Standardized Data'!$B$2:$B$255,$A23),"")</f>
        <v/>
      </c>
      <c r="L23" s="3">
        <f t="shared" si="0"/>
        <v>6708.4527520461797</v>
      </c>
    </row>
    <row r="24" spans="1:12" x14ac:dyDescent="0.25">
      <c r="A24" s="2" t="s">
        <v>298</v>
      </c>
      <c r="B24" s="2" t="str">
        <f>IFERROR(INDEX('Standardized Data'!$D$2:$D$255,MATCH($A24,'Standardized Data'!$B$2:$B$255,0)),"")</f>
        <v>Likely</v>
      </c>
      <c r="C24" s="2">
        <f>COUNTIF('Standardized Data'!$B$2:$B$255,$A24)</f>
        <v>6</v>
      </c>
      <c r="D24" s="3">
        <f>IF(SUMIFS('Standardized Data'!$G$2:$G$255,'Standardized Data'!$B$2:$B$255,$A24,'Standardized Data'!$A$2:$A$255,"Nov-2024")=0,"",SUMIFS('Standardized Data'!$G$2:$G$255,'Standardized Data'!$B$2:$B$255,$A24,'Standardized Data'!$A$2:$A$255,"Nov-2024"))</f>
        <v>3165.3812084810802</v>
      </c>
      <c r="E24" s="3">
        <f>IF(SUMIFS('Standardized Data'!$G$2:$G$255,'Standardized Data'!$B$2:$B$255,$A24,'Standardized Data'!$A$2:$A$255,"Dec-2024")=0,"",SUMIFS('Standardized Data'!$G$2:$G$255,'Standardized Data'!$B$2:$B$255,$A24,'Standardized Data'!$A$2:$A$255,"Dec-2024"))</f>
        <v>3328.1693203786999</v>
      </c>
      <c r="F24" s="3">
        <f>IF(SUMIFS('Standardized Data'!$G$2:$G$255,'Standardized Data'!$B$2:$B$255,$A24,'Standardized Data'!$A$2:$A$255,"Jan-2025")=0,"",SUMIFS('Standardized Data'!$G$2:$G$255,'Standardized Data'!$B$2:$B$255,$A24,'Standardized Data'!$A$2:$A$255,"Jan-2025"))</f>
        <v>2939.7346322297299</v>
      </c>
      <c r="G24" s="3">
        <f>IF(SUMIFS('Standardized Data'!$G$2:$G$255,'Standardized Data'!$B$2:$B$255,$A24,'Standardized Data'!$A$2:$A$255,"Feb-2025")=0,"",SUMIFS('Standardized Data'!$G$2:$G$255,'Standardized Data'!$B$2:$B$255,$A24,'Standardized Data'!$A$2:$A$255,"Feb-2025"))</f>
        <v>3039.8294761126099</v>
      </c>
      <c r="H24" s="3">
        <f>IF(SUMIFS('Standardized Data'!$G$2:$G$255,'Standardized Data'!$B$2:$B$255,$A24,'Standardized Data'!$A$2:$A$255,"Mar-2025")=0,"",SUMIFS('Standardized Data'!$G$2:$G$255,'Standardized Data'!$B$2:$B$255,$A24,'Standardized Data'!$A$2:$A$255,"Mar-2025"))</f>
        <v>3218.8178332615498</v>
      </c>
      <c r="I24" s="3">
        <f>IF(SUMIFS('Standardized Data'!$G$2:$G$255,'Standardized Data'!$B$2:$B$255,$A24,'Standardized Data'!$A$2:$A$255,"Apr-2025")=0,"",SUMIFS('Standardized Data'!$G$2:$G$255,'Standardized Data'!$B$2:$B$255,$A24,'Standardized Data'!$A$2:$A$255,"Apr-2025"))</f>
        <v>3250.3191343826402</v>
      </c>
      <c r="J24" s="4">
        <f>IFERROR(AVERAGEIFS('Standardized Data'!$H$2:$H$255,'Standardized Data'!$B$2:$B$255,$A24),"")</f>
        <v>4.6975733884118167</v>
      </c>
      <c r="K24" s="4">
        <f>IFERROR(AVERAGEIFS('Standardized Data'!$I$2:$I$255,'Standardized Data'!$B$2:$B$255,$A24),"")</f>
        <v>83.106837067603607</v>
      </c>
      <c r="L24" s="3">
        <f t="shared" si="0"/>
        <v>3250.3191343826402</v>
      </c>
    </row>
    <row r="25" spans="1:12" x14ac:dyDescent="0.25">
      <c r="A25" s="2" t="s">
        <v>311</v>
      </c>
      <c r="B25" s="2" t="str">
        <f>IFERROR(INDEX('Standardized Data'!$D$2:$D$255,MATCH($A25,'Standardized Data'!$B$2:$B$255,0)),"")</f>
        <v>New (2025)</v>
      </c>
      <c r="C25" s="2">
        <f>COUNTIF('Standardized Data'!$B$2:$B$255,$A25)</f>
        <v>4</v>
      </c>
      <c r="D25" s="3" t="str">
        <f>IF(SUMIFS('Standardized Data'!$G$2:$G$255,'Standardized Data'!$B$2:$B$255,$A25,'Standardized Data'!$A$2:$A$255,"Nov-2024")=0,"",SUMIFS('Standardized Data'!$G$2:$G$255,'Standardized Data'!$B$2:$B$255,$A25,'Standardized Data'!$A$2:$A$255,"Nov-2024"))</f>
        <v/>
      </c>
      <c r="E25" s="3" t="str">
        <f>IF(SUMIFS('Standardized Data'!$G$2:$G$255,'Standardized Data'!$B$2:$B$255,$A25,'Standardized Data'!$A$2:$A$255,"Dec-2024")=0,"",SUMIFS('Standardized Data'!$G$2:$G$255,'Standardized Data'!$B$2:$B$255,$A25,'Standardized Data'!$A$2:$A$255,"Dec-2024"))</f>
        <v/>
      </c>
      <c r="F25" s="3">
        <f>IF(SUMIFS('Standardized Data'!$G$2:$G$255,'Standardized Data'!$B$2:$B$255,$A25,'Standardized Data'!$A$2:$A$255,"Jan-2025")=0,"",SUMIFS('Standardized Data'!$G$2:$G$255,'Standardized Data'!$B$2:$B$255,$A25,'Standardized Data'!$A$2:$A$255,"Jan-2025"))</f>
        <v>2387.7568033521402</v>
      </c>
      <c r="G25" s="3">
        <f>IF(SUMIFS('Standardized Data'!$G$2:$G$255,'Standardized Data'!$B$2:$B$255,$A25,'Standardized Data'!$A$2:$A$255,"Feb-2025")=0,"",SUMIFS('Standardized Data'!$G$2:$G$255,'Standardized Data'!$B$2:$B$255,$A25,'Standardized Data'!$A$2:$A$255,"Feb-2025"))</f>
        <v>2392.4710545135099</v>
      </c>
      <c r="H25" s="3">
        <f>IF(SUMIFS('Standardized Data'!$G$2:$G$255,'Standardized Data'!$B$2:$B$255,$A25,'Standardized Data'!$A$2:$A$255,"Mar-2025")=0,"",SUMIFS('Standardized Data'!$G$2:$G$255,'Standardized Data'!$B$2:$B$255,$A25,'Standardized Data'!$A$2:$A$255,"Mar-2025"))</f>
        <v>2487.6765241773001</v>
      </c>
      <c r="I25" s="3">
        <f>IF(SUMIFS('Standardized Data'!$G$2:$G$255,'Standardized Data'!$B$2:$B$255,$A25,'Standardized Data'!$A$2:$A$255,"Apr-2025")=0,"",SUMIFS('Standardized Data'!$G$2:$G$255,'Standardized Data'!$B$2:$B$255,$A25,'Standardized Data'!$A$2:$A$255,"Apr-2025"))</f>
        <v>2545.7164478089499</v>
      </c>
      <c r="J25" s="4">
        <f>IFERROR(AVERAGEIFS('Standardized Data'!$H$2:$H$255,'Standardized Data'!$B$2:$B$255,$A25),"")</f>
        <v>2.1699700412882525</v>
      </c>
      <c r="K25" s="4" t="str">
        <f>IFERROR(AVERAGEIFS('Standardized Data'!$I$2:$I$255,'Standardized Data'!$B$2:$B$255,$A25),"")</f>
        <v/>
      </c>
      <c r="L25" s="3">
        <f t="shared" si="0"/>
        <v>2545.7164478089499</v>
      </c>
    </row>
    <row r="26" spans="1:12" x14ac:dyDescent="0.25">
      <c r="A26" s="2" t="s">
        <v>321</v>
      </c>
      <c r="B26" s="2" t="str">
        <f>IFERROR(INDEX('Standardized Data'!$D$2:$D$255,MATCH($A26,'Standardized Data'!$B$2:$B$255,0)),"")</f>
        <v>Discontinued</v>
      </c>
      <c r="C26" s="2">
        <f>COUNTIF('Standardized Data'!$B$2:$B$255,$A26)</f>
        <v>2</v>
      </c>
      <c r="D26" s="3">
        <f>IF(SUMIFS('Standardized Data'!$G$2:$G$255,'Standardized Data'!$B$2:$B$255,$A26,'Standardized Data'!$A$2:$A$255,"Nov-2024")=0,"",SUMIFS('Standardized Data'!$G$2:$G$255,'Standardized Data'!$B$2:$B$255,$A26,'Standardized Data'!$A$2:$A$255,"Nov-2024"))</f>
        <v>3875.65894324077</v>
      </c>
      <c r="E26" s="3">
        <f>IF(SUMIFS('Standardized Data'!$G$2:$G$255,'Standardized Data'!$B$2:$B$255,$A26,'Standardized Data'!$A$2:$A$255,"Dec-2024")=0,"",SUMIFS('Standardized Data'!$G$2:$G$255,'Standardized Data'!$B$2:$B$255,$A26,'Standardized Data'!$A$2:$A$255,"Dec-2024"))</f>
        <v>4014.2349042126002</v>
      </c>
      <c r="F26" s="3" t="str">
        <f>IF(SUMIFS('Standardized Data'!$G$2:$G$255,'Standardized Data'!$B$2:$B$255,$A26,'Standardized Data'!$A$2:$A$255,"Jan-2025")=0,"",SUMIFS('Standardized Data'!$G$2:$G$255,'Standardized Data'!$B$2:$B$255,$A26,'Standardized Data'!$A$2:$A$255,"Jan-2025"))</f>
        <v/>
      </c>
      <c r="G26" s="3" t="str">
        <f>IF(SUMIFS('Standardized Data'!$G$2:$G$255,'Standardized Data'!$B$2:$B$255,$A26,'Standardized Data'!$A$2:$A$255,"Feb-2025")=0,"",SUMIFS('Standardized Data'!$G$2:$G$255,'Standardized Data'!$B$2:$B$255,$A26,'Standardized Data'!$A$2:$A$255,"Feb-2025"))</f>
        <v/>
      </c>
      <c r="H26" s="3" t="str">
        <f>IF(SUMIFS('Standardized Data'!$G$2:$G$255,'Standardized Data'!$B$2:$B$255,$A26,'Standardized Data'!$A$2:$A$255,"Mar-2025")=0,"",SUMIFS('Standardized Data'!$G$2:$G$255,'Standardized Data'!$B$2:$B$255,$A26,'Standardized Data'!$A$2:$A$255,"Mar-2025"))</f>
        <v/>
      </c>
      <c r="I26" s="3" t="str">
        <f>IF(SUMIFS('Standardized Data'!$G$2:$G$255,'Standardized Data'!$B$2:$B$255,$A26,'Standardized Data'!$A$2:$A$255,"Apr-2025")=0,"",SUMIFS('Standardized Data'!$G$2:$G$255,'Standardized Data'!$B$2:$B$255,$A26,'Standardized Data'!$A$2:$A$255,"Apr-2025"))</f>
        <v/>
      </c>
      <c r="J26" s="4">
        <f>IFERROR(AVERAGEIFS('Standardized Data'!$H$2:$H$255,'Standardized Data'!$B$2:$B$255,$A26),"")</f>
        <v>4.0641577043420352</v>
      </c>
      <c r="K26" s="4">
        <f>IFERROR(AVERAGEIFS('Standardized Data'!$I$2:$I$255,'Standardized Data'!$B$2:$B$255,$A26),"")</f>
        <v>74.288227994726299</v>
      </c>
      <c r="L26" s="3">
        <f t="shared" si="0"/>
        <v>4014.2349042126002</v>
      </c>
    </row>
    <row r="27" spans="1:12" x14ac:dyDescent="0.25">
      <c r="A27" s="2" t="s">
        <v>326</v>
      </c>
      <c r="B27" s="2" t="str">
        <f>IFERROR(INDEX('Standardized Data'!$D$2:$D$255,MATCH($A27,'Standardized Data'!$B$2:$B$255,0)),"")</f>
        <v>Confirmed</v>
      </c>
      <c r="C27" s="2">
        <f>COUNTIF('Standardized Data'!$B$2:$B$255,$A27)</f>
        <v>6</v>
      </c>
      <c r="D27" s="3">
        <f>IF(SUMIFS('Standardized Data'!$G$2:$G$255,'Standardized Data'!$B$2:$B$255,$A27,'Standardized Data'!$A$2:$A$255,"Nov-2024")=0,"",SUMIFS('Standardized Data'!$G$2:$G$255,'Standardized Data'!$B$2:$B$255,$A27,'Standardized Data'!$A$2:$A$255,"Nov-2024"))</f>
        <v>1778.9604773569499</v>
      </c>
      <c r="E27" s="3">
        <f>IF(SUMIFS('Standardized Data'!$G$2:$G$255,'Standardized Data'!$B$2:$B$255,$A27,'Standardized Data'!$A$2:$A$255,"Dec-2024")=0,"",SUMIFS('Standardized Data'!$G$2:$G$255,'Standardized Data'!$B$2:$B$255,$A27,'Standardized Data'!$A$2:$A$255,"Dec-2024"))</f>
        <v>1818.2876324441499</v>
      </c>
      <c r="F27" s="3">
        <f>IF(SUMIFS('Standardized Data'!$G$2:$G$255,'Standardized Data'!$B$2:$B$255,$A27,'Standardized Data'!$A$2:$A$255,"Jan-2025")=0,"",SUMIFS('Standardized Data'!$G$2:$G$255,'Standardized Data'!$B$2:$B$255,$A27,'Standardized Data'!$A$2:$A$255,"Jan-2025"))</f>
        <v>1790.91087652799</v>
      </c>
      <c r="G27" s="3">
        <f>IF(SUMIFS('Standardized Data'!$G$2:$G$255,'Standardized Data'!$B$2:$B$255,$A27,'Standardized Data'!$A$2:$A$255,"Feb-2025")=0,"",SUMIFS('Standardized Data'!$G$2:$G$255,'Standardized Data'!$B$2:$B$255,$A27,'Standardized Data'!$A$2:$A$255,"Feb-2025"))</f>
        <v>1756.40726696976</v>
      </c>
      <c r="H27" s="3">
        <f>IF(SUMIFS('Standardized Data'!$G$2:$G$255,'Standardized Data'!$B$2:$B$255,$A27,'Standardized Data'!$A$2:$A$255,"Mar-2025")=0,"",SUMIFS('Standardized Data'!$G$2:$G$255,'Standardized Data'!$B$2:$B$255,$A27,'Standardized Data'!$A$2:$A$255,"Mar-2025"))</f>
        <v>1881.7562755561701</v>
      </c>
      <c r="I27" s="3">
        <f>IF(SUMIFS('Standardized Data'!$G$2:$G$255,'Standardized Data'!$B$2:$B$255,$A27,'Standardized Data'!$A$2:$A$255,"Apr-2025")=0,"",SUMIFS('Standardized Data'!$G$2:$G$255,'Standardized Data'!$B$2:$B$255,$A27,'Standardized Data'!$A$2:$A$255,"Apr-2025"))</f>
        <v>1948.6077123661701</v>
      </c>
      <c r="J27" s="4">
        <f>IFERROR(AVERAGEIFS('Standardized Data'!$H$2:$H$255,'Standardized Data'!$B$2:$B$255,$A27),"")</f>
        <v>2.0152473688454036</v>
      </c>
      <c r="K27" s="4">
        <f>IFERROR(AVERAGEIFS('Standardized Data'!$I$2:$I$255,'Standardized Data'!$B$2:$B$255,$A27),"")</f>
        <v>66.33691023748888</v>
      </c>
      <c r="L27" s="3">
        <f t="shared" si="0"/>
        <v>1948.6077123661701</v>
      </c>
    </row>
    <row r="28" spans="1:12" x14ac:dyDescent="0.25">
      <c r="A28" s="2" t="s">
        <v>340</v>
      </c>
      <c r="B28" s="2" t="str">
        <f>IFERROR(INDEX('Standardized Data'!$D$2:$D$255,MATCH($A28,'Standardized Data'!$B$2:$B$255,0)),"")</f>
        <v>Likely</v>
      </c>
      <c r="C28" s="2">
        <f>COUNTIF('Standardized Data'!$B$2:$B$255,$A28)</f>
        <v>6</v>
      </c>
      <c r="D28" s="3">
        <f>IF(SUMIFS('Standardized Data'!$G$2:$G$255,'Standardized Data'!$B$2:$B$255,$A28,'Standardized Data'!$A$2:$A$255,"Nov-2024")=0,"",SUMIFS('Standardized Data'!$G$2:$G$255,'Standardized Data'!$B$2:$B$255,$A28,'Standardized Data'!$A$2:$A$255,"Nov-2024"))</f>
        <v>2485.13886536679</v>
      </c>
      <c r="E28" s="3">
        <f>IF(SUMIFS('Standardized Data'!$G$2:$G$255,'Standardized Data'!$B$2:$B$255,$A28,'Standardized Data'!$A$2:$A$255,"Dec-2024")=0,"",SUMIFS('Standardized Data'!$G$2:$G$255,'Standardized Data'!$B$2:$B$255,$A28,'Standardized Data'!$A$2:$A$255,"Dec-2024"))</f>
        <v>2512.32651705328</v>
      </c>
      <c r="F28" s="3">
        <f>IF(SUMIFS('Standardized Data'!$G$2:$G$255,'Standardized Data'!$B$2:$B$255,$A28,'Standardized Data'!$A$2:$A$255,"Jan-2025")=0,"",SUMIFS('Standardized Data'!$G$2:$G$255,'Standardized Data'!$B$2:$B$255,$A28,'Standardized Data'!$A$2:$A$255,"Jan-2025"))</f>
        <v>2508.1549602219002</v>
      </c>
      <c r="G28" s="3">
        <f>IF(SUMIFS('Standardized Data'!$G$2:$G$255,'Standardized Data'!$B$2:$B$255,$A28,'Standardized Data'!$A$2:$A$255,"Feb-2025")=0,"",SUMIFS('Standardized Data'!$G$2:$G$255,'Standardized Data'!$B$2:$B$255,$A28,'Standardized Data'!$A$2:$A$255,"Feb-2025"))</f>
        <v>2564.95182040297</v>
      </c>
      <c r="H28" s="3">
        <f>IF(SUMIFS('Standardized Data'!$G$2:$G$255,'Standardized Data'!$B$2:$B$255,$A28,'Standardized Data'!$A$2:$A$255,"Mar-2025")=0,"",SUMIFS('Standardized Data'!$G$2:$G$255,'Standardized Data'!$B$2:$B$255,$A28,'Standardized Data'!$A$2:$A$255,"Mar-2025"))</f>
        <v>2671.7289628642802</v>
      </c>
      <c r="I28" s="3">
        <f>IF(SUMIFS('Standardized Data'!$G$2:$G$255,'Standardized Data'!$B$2:$B$255,$A28,'Standardized Data'!$A$2:$A$255,"Apr-2025")=0,"",SUMIFS('Standardized Data'!$G$2:$G$255,'Standardized Data'!$B$2:$B$255,$A28,'Standardized Data'!$A$2:$A$255,"Apr-2025"))</f>
        <v>2517.8856093511199</v>
      </c>
      <c r="J28" s="4">
        <f>IFERROR(AVERAGEIFS('Standardized Data'!$H$2:$H$255,'Standardized Data'!$B$2:$B$255,$A28),"")</f>
        <v>0.8178561857397979</v>
      </c>
      <c r="K28" s="4">
        <f>IFERROR(AVERAGEIFS('Standardized Data'!$I$2:$I$255,'Standardized Data'!$B$2:$B$255,$A28),"")</f>
        <v>157.51877895100398</v>
      </c>
      <c r="L28" s="3">
        <f t="shared" si="0"/>
        <v>2517.8856093511199</v>
      </c>
    </row>
    <row r="29" spans="1:12" x14ac:dyDescent="0.25">
      <c r="A29" s="2" t="s">
        <v>351</v>
      </c>
      <c r="B29" s="2" t="str">
        <f>IFERROR(INDEX('Standardized Data'!$D$2:$D$255,MATCH($A29,'Standardized Data'!$B$2:$B$255,0)),"")</f>
        <v>Confirmed</v>
      </c>
      <c r="C29" s="2">
        <f>COUNTIF('Standardized Data'!$B$2:$B$255,$A29)</f>
        <v>6</v>
      </c>
      <c r="D29" s="3">
        <f>IF(SUMIFS('Standardized Data'!$G$2:$G$255,'Standardized Data'!$B$2:$B$255,$A29,'Standardized Data'!$A$2:$A$255,"Nov-2024")=0,"",SUMIFS('Standardized Data'!$G$2:$G$255,'Standardized Data'!$B$2:$B$255,$A29,'Standardized Data'!$A$2:$A$255,"Nov-2024"))</f>
        <v>4203.7597581405698</v>
      </c>
      <c r="E29" s="3">
        <f>IF(SUMIFS('Standardized Data'!$G$2:$G$255,'Standardized Data'!$B$2:$B$255,$A29,'Standardized Data'!$A$2:$A$255,"Dec-2024")=0,"",SUMIFS('Standardized Data'!$G$2:$G$255,'Standardized Data'!$B$2:$B$255,$A29,'Standardized Data'!$A$2:$A$255,"Dec-2024"))</f>
        <v>4287.6540179701396</v>
      </c>
      <c r="F29" s="3">
        <f>IF(SUMIFS('Standardized Data'!$G$2:$G$255,'Standardized Data'!$B$2:$B$255,$A29,'Standardized Data'!$A$2:$A$255,"Jan-2025")=0,"",SUMIFS('Standardized Data'!$G$2:$G$255,'Standardized Data'!$B$2:$B$255,$A29,'Standardized Data'!$A$2:$A$255,"Jan-2025"))</f>
        <v>5117.8059351929396</v>
      </c>
      <c r="G29" s="3">
        <f>IF(SUMIFS('Standardized Data'!$G$2:$G$255,'Standardized Data'!$B$2:$B$255,$A29,'Standardized Data'!$A$2:$A$255,"Feb-2025")=0,"",SUMIFS('Standardized Data'!$G$2:$G$255,'Standardized Data'!$B$2:$B$255,$A29,'Standardized Data'!$A$2:$A$255,"Feb-2025"))</f>
        <v>5233.1514442468497</v>
      </c>
      <c r="H29" s="3">
        <f>IF(SUMIFS('Standardized Data'!$G$2:$G$255,'Standardized Data'!$B$2:$B$255,$A29,'Standardized Data'!$A$2:$A$255,"Mar-2025")=0,"",SUMIFS('Standardized Data'!$G$2:$G$255,'Standardized Data'!$B$2:$B$255,$A29,'Standardized Data'!$A$2:$A$255,"Mar-2025"))</f>
        <v>5482.6327859487901</v>
      </c>
      <c r="I29" s="3">
        <f>IF(SUMIFS('Standardized Data'!$G$2:$G$255,'Standardized Data'!$B$2:$B$255,$A29,'Standardized Data'!$A$2:$A$255,"Apr-2025")=0,"",SUMIFS('Standardized Data'!$G$2:$G$255,'Standardized Data'!$B$2:$B$255,$A29,'Standardized Data'!$A$2:$A$255,"Apr-2025"))</f>
        <v>5417.3963473999602</v>
      </c>
      <c r="J29" s="4">
        <f>IFERROR(AVERAGEIFS('Standardized Data'!$H$2:$H$255,'Standardized Data'!$B$2:$B$255,$A29),"")</f>
        <v>4.8038654005349217</v>
      </c>
      <c r="K29" s="4">
        <f>IFERROR(AVERAGEIFS('Standardized Data'!$I$2:$I$255,'Standardized Data'!$B$2:$B$255,$A29),"")</f>
        <v>88.914569971709525</v>
      </c>
      <c r="L29" s="3">
        <f t="shared" si="0"/>
        <v>5417.3963473999602</v>
      </c>
    </row>
    <row r="30" spans="1:12" x14ac:dyDescent="0.25">
      <c r="A30" s="2" t="s">
        <v>365</v>
      </c>
      <c r="B30" s="2" t="str">
        <f>IFERROR(INDEX('Standardized Data'!$D$2:$D$255,MATCH($A30,'Standardized Data'!$B$2:$B$255,0)),"")</f>
        <v>Confirmed</v>
      </c>
      <c r="C30" s="2">
        <f>COUNTIF('Standardized Data'!$B$2:$B$255,$A30)</f>
        <v>6</v>
      </c>
      <c r="D30" s="3">
        <f>IF(SUMIFS('Standardized Data'!$G$2:$G$255,'Standardized Data'!$B$2:$B$255,$A30,'Standardized Data'!$A$2:$A$255,"Nov-2024")=0,"",SUMIFS('Standardized Data'!$G$2:$G$255,'Standardized Data'!$B$2:$B$255,$A30,'Standardized Data'!$A$2:$A$255,"Nov-2024"))</f>
        <v>1156.9086378729901</v>
      </c>
      <c r="E30" s="3">
        <f>IF(SUMIFS('Standardized Data'!$G$2:$G$255,'Standardized Data'!$B$2:$B$255,$A30,'Standardized Data'!$A$2:$A$255,"Dec-2024")=0,"",SUMIFS('Standardized Data'!$G$2:$G$255,'Standardized Data'!$B$2:$B$255,$A30,'Standardized Data'!$A$2:$A$255,"Dec-2024"))</f>
        <v>1151.13471287571</v>
      </c>
      <c r="F30" s="3">
        <f>IF(SUMIFS('Standardized Data'!$G$2:$G$255,'Standardized Data'!$B$2:$B$255,$A30,'Standardized Data'!$A$2:$A$255,"Jan-2025")=0,"",SUMIFS('Standardized Data'!$G$2:$G$255,'Standardized Data'!$B$2:$B$255,$A30,'Standardized Data'!$A$2:$A$255,"Jan-2025"))</f>
        <v>1168.3379724972699</v>
      </c>
      <c r="G30" s="3">
        <f>IF(SUMIFS('Standardized Data'!$G$2:$G$255,'Standardized Data'!$B$2:$B$255,$A30,'Standardized Data'!$A$2:$A$255,"Feb-2025")=0,"",SUMIFS('Standardized Data'!$G$2:$G$255,'Standardized Data'!$B$2:$B$255,$A30,'Standardized Data'!$A$2:$A$255,"Feb-2025"))</f>
        <v>1169.3210112602201</v>
      </c>
      <c r="H30" s="3">
        <f>IF(SUMIFS('Standardized Data'!$G$2:$G$255,'Standardized Data'!$B$2:$B$255,$A30,'Standardized Data'!$A$2:$A$255,"Mar-2025")=0,"",SUMIFS('Standardized Data'!$G$2:$G$255,'Standardized Data'!$B$2:$B$255,$A30,'Standardized Data'!$A$2:$A$255,"Mar-2025"))</f>
        <v>1278.7595198008501</v>
      </c>
      <c r="I30" s="3">
        <f>IF(SUMIFS('Standardized Data'!$G$2:$G$255,'Standardized Data'!$B$2:$B$255,$A30,'Standardized Data'!$A$2:$A$255,"Apr-2025")=0,"",SUMIFS('Standardized Data'!$G$2:$G$255,'Standardized Data'!$B$2:$B$255,$A30,'Standardized Data'!$A$2:$A$255,"Apr-2025"))</f>
        <v>1239.609660498</v>
      </c>
      <c r="J30" s="4">
        <f>IFERROR(AVERAGEIFS('Standardized Data'!$H$2:$H$255,'Standardized Data'!$B$2:$B$255,$A30),"")</f>
        <v>2.4090760906920567</v>
      </c>
      <c r="K30" s="4">
        <f>IFERROR(AVERAGEIFS('Standardized Data'!$I$2:$I$255,'Standardized Data'!$B$2:$B$255,$A30),"")</f>
        <v>79.262377187719082</v>
      </c>
      <c r="L30" s="3">
        <f t="shared" si="0"/>
        <v>1239.609660498</v>
      </c>
    </row>
    <row r="31" spans="1:12" x14ac:dyDescent="0.25">
      <c r="A31" s="2" t="s">
        <v>379</v>
      </c>
      <c r="B31" s="2" t="str">
        <f>IFERROR(INDEX('Standardized Data'!$D$2:$D$255,MATCH($A31,'Standardized Data'!$B$2:$B$255,0)),"")</f>
        <v>Discontinued</v>
      </c>
      <c r="C31" s="2">
        <f>COUNTIF('Standardized Data'!$B$2:$B$255,$A31)</f>
        <v>2</v>
      </c>
      <c r="D31" s="3">
        <f>IF(SUMIFS('Standardized Data'!$G$2:$G$255,'Standardized Data'!$B$2:$B$255,$A31,'Standardized Data'!$A$2:$A$255,"Nov-2024")=0,"",SUMIFS('Standardized Data'!$G$2:$G$255,'Standardized Data'!$B$2:$B$255,$A31,'Standardized Data'!$A$2:$A$255,"Nov-2024"))</f>
        <v>1163.2443098946301</v>
      </c>
      <c r="E31" s="3">
        <f>IF(SUMIFS('Standardized Data'!$G$2:$G$255,'Standardized Data'!$B$2:$B$255,$A31,'Standardized Data'!$A$2:$A$255,"Dec-2024")=0,"",SUMIFS('Standardized Data'!$G$2:$G$255,'Standardized Data'!$B$2:$B$255,$A31,'Standardized Data'!$A$2:$A$255,"Dec-2024"))</f>
        <v>1160.21514057117</v>
      </c>
      <c r="F31" s="3" t="str">
        <f>IF(SUMIFS('Standardized Data'!$G$2:$G$255,'Standardized Data'!$B$2:$B$255,$A31,'Standardized Data'!$A$2:$A$255,"Jan-2025")=0,"",SUMIFS('Standardized Data'!$G$2:$G$255,'Standardized Data'!$B$2:$B$255,$A31,'Standardized Data'!$A$2:$A$255,"Jan-2025"))</f>
        <v/>
      </c>
      <c r="G31" s="3" t="str">
        <f>IF(SUMIFS('Standardized Data'!$G$2:$G$255,'Standardized Data'!$B$2:$B$255,$A31,'Standardized Data'!$A$2:$A$255,"Feb-2025")=0,"",SUMIFS('Standardized Data'!$G$2:$G$255,'Standardized Data'!$B$2:$B$255,$A31,'Standardized Data'!$A$2:$A$255,"Feb-2025"))</f>
        <v/>
      </c>
      <c r="H31" s="3" t="str">
        <f>IF(SUMIFS('Standardized Data'!$G$2:$G$255,'Standardized Data'!$B$2:$B$255,$A31,'Standardized Data'!$A$2:$A$255,"Mar-2025")=0,"",SUMIFS('Standardized Data'!$G$2:$G$255,'Standardized Data'!$B$2:$B$255,$A31,'Standardized Data'!$A$2:$A$255,"Mar-2025"))</f>
        <v/>
      </c>
      <c r="I31" s="3" t="str">
        <f>IF(SUMIFS('Standardized Data'!$G$2:$G$255,'Standardized Data'!$B$2:$B$255,$A31,'Standardized Data'!$A$2:$A$255,"Apr-2025")=0,"",SUMIFS('Standardized Data'!$G$2:$G$255,'Standardized Data'!$B$2:$B$255,$A31,'Standardized Data'!$A$2:$A$255,"Apr-2025"))</f>
        <v/>
      </c>
      <c r="J31" s="4">
        <f>IFERROR(AVERAGEIFS('Standardized Data'!$H$2:$H$255,'Standardized Data'!$B$2:$B$255,$A31),"")</f>
        <v>3.6781134732361722</v>
      </c>
      <c r="K31" s="4">
        <f>IFERROR(AVERAGEIFS('Standardized Data'!$I$2:$I$255,'Standardized Data'!$B$2:$B$255,$A31),"")</f>
        <v>102.37738342844796</v>
      </c>
      <c r="L31" s="3">
        <f t="shared" si="0"/>
        <v>1160.21514057117</v>
      </c>
    </row>
    <row r="32" spans="1:12" x14ac:dyDescent="0.25">
      <c r="A32" s="2" t="s">
        <v>383</v>
      </c>
      <c r="B32" s="2" t="str">
        <f>IFERROR(INDEX('Standardized Data'!$D$2:$D$255,MATCH($A32,'Standardized Data'!$B$2:$B$255,0)),"")</f>
        <v>Discontinued</v>
      </c>
      <c r="C32" s="2">
        <f>COUNTIF('Standardized Data'!$B$2:$B$255,$A32)</f>
        <v>2</v>
      </c>
      <c r="D32" s="3">
        <f>IF(SUMIFS('Standardized Data'!$G$2:$G$255,'Standardized Data'!$B$2:$B$255,$A32,'Standardized Data'!$A$2:$A$255,"Nov-2024")=0,"",SUMIFS('Standardized Data'!$G$2:$G$255,'Standardized Data'!$B$2:$B$255,$A32,'Standardized Data'!$A$2:$A$255,"Nov-2024"))</f>
        <v>4136.4786973755999</v>
      </c>
      <c r="E32" s="3">
        <f>IF(SUMIFS('Standardized Data'!$G$2:$G$255,'Standardized Data'!$B$2:$B$255,$A32,'Standardized Data'!$A$2:$A$255,"Dec-2024")=0,"",SUMIFS('Standardized Data'!$G$2:$G$255,'Standardized Data'!$B$2:$B$255,$A32,'Standardized Data'!$A$2:$A$255,"Dec-2024"))</f>
        <v>4166.67611915425</v>
      </c>
      <c r="F32" s="3" t="str">
        <f>IF(SUMIFS('Standardized Data'!$G$2:$G$255,'Standardized Data'!$B$2:$B$255,$A32,'Standardized Data'!$A$2:$A$255,"Jan-2025")=0,"",SUMIFS('Standardized Data'!$G$2:$G$255,'Standardized Data'!$B$2:$B$255,$A32,'Standardized Data'!$A$2:$A$255,"Jan-2025"))</f>
        <v/>
      </c>
      <c r="G32" s="3" t="str">
        <f>IF(SUMIFS('Standardized Data'!$G$2:$G$255,'Standardized Data'!$B$2:$B$255,$A32,'Standardized Data'!$A$2:$A$255,"Feb-2025")=0,"",SUMIFS('Standardized Data'!$G$2:$G$255,'Standardized Data'!$B$2:$B$255,$A32,'Standardized Data'!$A$2:$A$255,"Feb-2025"))</f>
        <v/>
      </c>
      <c r="H32" s="3" t="str">
        <f>IF(SUMIFS('Standardized Data'!$G$2:$G$255,'Standardized Data'!$B$2:$B$255,$A32,'Standardized Data'!$A$2:$A$255,"Mar-2025")=0,"",SUMIFS('Standardized Data'!$G$2:$G$255,'Standardized Data'!$B$2:$B$255,$A32,'Standardized Data'!$A$2:$A$255,"Mar-2025"))</f>
        <v/>
      </c>
      <c r="I32" s="3" t="str">
        <f>IF(SUMIFS('Standardized Data'!$G$2:$G$255,'Standardized Data'!$B$2:$B$255,$A32,'Standardized Data'!$A$2:$A$255,"Apr-2025")=0,"",SUMIFS('Standardized Data'!$G$2:$G$255,'Standardized Data'!$B$2:$B$255,$A32,'Standardized Data'!$A$2:$A$255,"Apr-2025"))</f>
        <v/>
      </c>
      <c r="J32" s="4">
        <f>IFERROR(AVERAGEIFS('Standardized Data'!$H$2:$H$255,'Standardized Data'!$B$2:$B$255,$A32),"")</f>
        <v>1.3781876213232971</v>
      </c>
      <c r="K32" s="4">
        <f>IFERROR(AVERAGEIFS('Standardized Data'!$I$2:$I$255,'Standardized Data'!$B$2:$B$255,$A32),"")</f>
        <v>91.128153193342143</v>
      </c>
      <c r="L32" s="3">
        <f t="shared" si="0"/>
        <v>4166.67611915425</v>
      </c>
    </row>
    <row r="33" spans="1:12" x14ac:dyDescent="0.25">
      <c r="A33" s="2" t="s">
        <v>388</v>
      </c>
      <c r="B33" s="2" t="str">
        <f>IFERROR(INDEX('Standardized Data'!$D$2:$D$255,MATCH($A33,'Standardized Data'!$B$2:$B$255,0)),"")</f>
        <v>Discontinued</v>
      </c>
      <c r="C33" s="2">
        <f>COUNTIF('Standardized Data'!$B$2:$B$255,$A33)</f>
        <v>2</v>
      </c>
      <c r="D33" s="3">
        <f>IF(SUMIFS('Standardized Data'!$G$2:$G$255,'Standardized Data'!$B$2:$B$255,$A33,'Standardized Data'!$A$2:$A$255,"Nov-2024")=0,"",SUMIFS('Standardized Data'!$G$2:$G$255,'Standardized Data'!$B$2:$B$255,$A33,'Standardized Data'!$A$2:$A$255,"Nov-2024"))</f>
        <v>5345.9909023037198</v>
      </c>
      <c r="E33" s="3">
        <f>IF(SUMIFS('Standardized Data'!$G$2:$G$255,'Standardized Data'!$B$2:$B$255,$A33,'Standardized Data'!$A$2:$A$255,"Dec-2024")=0,"",SUMIFS('Standardized Data'!$G$2:$G$255,'Standardized Data'!$B$2:$B$255,$A33,'Standardized Data'!$A$2:$A$255,"Dec-2024"))</f>
        <v>5632.3370938083499</v>
      </c>
      <c r="F33" s="3" t="str">
        <f>IF(SUMIFS('Standardized Data'!$G$2:$G$255,'Standardized Data'!$B$2:$B$255,$A33,'Standardized Data'!$A$2:$A$255,"Jan-2025")=0,"",SUMIFS('Standardized Data'!$G$2:$G$255,'Standardized Data'!$B$2:$B$255,$A33,'Standardized Data'!$A$2:$A$255,"Jan-2025"))</f>
        <v/>
      </c>
      <c r="G33" s="3" t="str">
        <f>IF(SUMIFS('Standardized Data'!$G$2:$G$255,'Standardized Data'!$B$2:$B$255,$A33,'Standardized Data'!$A$2:$A$255,"Feb-2025")=0,"",SUMIFS('Standardized Data'!$G$2:$G$255,'Standardized Data'!$B$2:$B$255,$A33,'Standardized Data'!$A$2:$A$255,"Feb-2025"))</f>
        <v/>
      </c>
      <c r="H33" s="3" t="str">
        <f>IF(SUMIFS('Standardized Data'!$G$2:$G$255,'Standardized Data'!$B$2:$B$255,$A33,'Standardized Data'!$A$2:$A$255,"Mar-2025")=0,"",SUMIFS('Standardized Data'!$G$2:$G$255,'Standardized Data'!$B$2:$B$255,$A33,'Standardized Data'!$A$2:$A$255,"Mar-2025"))</f>
        <v/>
      </c>
      <c r="I33" s="3" t="str">
        <f>IF(SUMIFS('Standardized Data'!$G$2:$G$255,'Standardized Data'!$B$2:$B$255,$A33,'Standardized Data'!$A$2:$A$255,"Apr-2025")=0,"",SUMIFS('Standardized Data'!$G$2:$G$255,'Standardized Data'!$B$2:$B$255,$A33,'Standardized Data'!$A$2:$A$255,"Apr-2025"))</f>
        <v/>
      </c>
      <c r="J33" s="4">
        <f>IFERROR(AVERAGEIFS('Standardized Data'!$H$2:$H$255,'Standardized Data'!$B$2:$B$255,$A33),"")</f>
        <v>4.682831010863115</v>
      </c>
      <c r="K33" s="4">
        <f>IFERROR(AVERAGEIFS('Standardized Data'!$I$2:$I$255,'Standardized Data'!$B$2:$B$255,$A33),"")</f>
        <v>79.375236717866855</v>
      </c>
      <c r="L33" s="3">
        <f t="shared" si="0"/>
        <v>5632.3370938083499</v>
      </c>
    </row>
    <row r="34" spans="1:12" x14ac:dyDescent="0.25">
      <c r="A34" s="2" t="s">
        <v>393</v>
      </c>
      <c r="B34" s="2" t="str">
        <f>IFERROR(INDEX('Standardized Data'!$D$2:$D$255,MATCH($A34,'Standardized Data'!$B$2:$B$255,0)),"")</f>
        <v>Confirmed</v>
      </c>
      <c r="C34" s="2">
        <f>COUNTIF('Standardized Data'!$B$2:$B$255,$A34)</f>
        <v>6</v>
      </c>
      <c r="D34" s="3">
        <f>IF(SUMIFS('Standardized Data'!$G$2:$G$255,'Standardized Data'!$B$2:$B$255,$A34,'Standardized Data'!$A$2:$A$255,"Nov-2024")=0,"",SUMIFS('Standardized Data'!$G$2:$G$255,'Standardized Data'!$B$2:$B$255,$A34,'Standardized Data'!$A$2:$A$255,"Nov-2024"))</f>
        <v>1878.0015100273999</v>
      </c>
      <c r="E34" s="3">
        <f>IF(SUMIFS('Standardized Data'!$G$2:$G$255,'Standardized Data'!$B$2:$B$255,$A34,'Standardized Data'!$A$2:$A$255,"Dec-2024")=0,"",SUMIFS('Standardized Data'!$G$2:$G$255,'Standardized Data'!$B$2:$B$255,$A34,'Standardized Data'!$A$2:$A$255,"Dec-2024"))</f>
        <v>2057.8108721538001</v>
      </c>
      <c r="F34" s="3">
        <f>IF(SUMIFS('Standardized Data'!$G$2:$G$255,'Standardized Data'!$B$2:$B$255,$A34,'Standardized Data'!$A$2:$A$255,"Jan-2025")=0,"",SUMIFS('Standardized Data'!$G$2:$G$255,'Standardized Data'!$B$2:$B$255,$A34,'Standardized Data'!$A$2:$A$255,"Jan-2025"))</f>
        <v>1367.6215629373401</v>
      </c>
      <c r="G34" s="3">
        <f>IF(SUMIFS('Standardized Data'!$G$2:$G$255,'Standardized Data'!$B$2:$B$255,$A34,'Standardized Data'!$A$2:$A$255,"Feb-2025")=0,"",SUMIFS('Standardized Data'!$G$2:$G$255,'Standardized Data'!$B$2:$B$255,$A34,'Standardized Data'!$A$2:$A$255,"Feb-2025"))</f>
        <v>1372.0419025966901</v>
      </c>
      <c r="H34" s="3">
        <f>IF(SUMIFS('Standardized Data'!$G$2:$G$255,'Standardized Data'!$B$2:$B$255,$A34,'Standardized Data'!$A$2:$A$255,"Mar-2025")=0,"",SUMIFS('Standardized Data'!$G$2:$G$255,'Standardized Data'!$B$2:$B$255,$A34,'Standardized Data'!$A$2:$A$255,"Mar-2025"))</f>
        <v>1434.8498267248599</v>
      </c>
      <c r="I34" s="3">
        <f>IF(SUMIFS('Standardized Data'!$G$2:$G$255,'Standardized Data'!$B$2:$B$255,$A34,'Standardized Data'!$A$2:$A$255,"Apr-2025")=0,"",SUMIFS('Standardized Data'!$G$2:$G$255,'Standardized Data'!$B$2:$B$255,$A34,'Standardized Data'!$A$2:$A$255,"Apr-2025"))</f>
        <v>1503.5644918098701</v>
      </c>
      <c r="J34" s="4">
        <f>IFERROR(AVERAGEIFS('Standardized Data'!$H$2:$H$255,'Standardized Data'!$B$2:$B$255,$A34),"")</f>
        <v>5.9636050409990062</v>
      </c>
      <c r="K34" s="4">
        <f>IFERROR(AVERAGEIFS('Standardized Data'!$I$2:$I$255,'Standardized Data'!$B$2:$B$255,$A34),"")</f>
        <v>81.974233785652885</v>
      </c>
      <c r="L34" s="3">
        <f t="shared" ref="L34:L53" si="1">IF(I34&lt;&gt;"",I34,IF(H34&lt;&gt;"",H34,IF(G34&lt;&gt;"",G34,IF(F34&lt;&gt;"",F34,IF(E34&lt;&gt;"",E34,IF(D34&lt;&gt;"",D34,""))))))</f>
        <v>1503.5644918098701</v>
      </c>
    </row>
    <row r="35" spans="1:12" x14ac:dyDescent="0.25">
      <c r="A35" s="2" t="s">
        <v>409</v>
      </c>
      <c r="B35" s="2" t="str">
        <f>IFERROR(INDEX('Standardized Data'!$D$2:$D$255,MATCH($A35,'Standardized Data'!$B$2:$B$255,0)),"")</f>
        <v>Confirmed</v>
      </c>
      <c r="C35" s="2">
        <f>COUNTIF('Standardized Data'!$B$2:$B$255,$A35)</f>
        <v>6</v>
      </c>
      <c r="D35" s="3">
        <f>IF(SUMIFS('Standardized Data'!$G$2:$G$255,'Standardized Data'!$B$2:$B$255,$A35,'Standardized Data'!$A$2:$A$255,"Nov-2024")=0,"",SUMIFS('Standardized Data'!$G$2:$G$255,'Standardized Data'!$B$2:$B$255,$A35,'Standardized Data'!$A$2:$A$255,"Nov-2024"))</f>
        <v>2466.7871367873599</v>
      </c>
      <c r="E35" s="3">
        <f>IF(SUMIFS('Standardized Data'!$G$2:$G$255,'Standardized Data'!$B$2:$B$255,$A35,'Standardized Data'!$A$2:$A$255,"Dec-2024")=0,"",SUMIFS('Standardized Data'!$G$2:$G$255,'Standardized Data'!$B$2:$B$255,$A35,'Standardized Data'!$A$2:$A$255,"Dec-2024"))</f>
        <v>2582.3479986950401</v>
      </c>
      <c r="F35" s="3">
        <f>IF(SUMIFS('Standardized Data'!$G$2:$G$255,'Standardized Data'!$B$2:$B$255,$A35,'Standardized Data'!$A$2:$A$255,"Jan-2025")=0,"",SUMIFS('Standardized Data'!$G$2:$G$255,'Standardized Data'!$B$2:$B$255,$A35,'Standardized Data'!$A$2:$A$255,"Jan-2025"))</f>
        <v>2329.5428046950301</v>
      </c>
      <c r="G35" s="3">
        <f>IF(SUMIFS('Standardized Data'!$G$2:$G$255,'Standardized Data'!$B$2:$B$255,$A35,'Standardized Data'!$A$2:$A$255,"Feb-2025")=0,"",SUMIFS('Standardized Data'!$G$2:$G$255,'Standardized Data'!$B$2:$B$255,$A35,'Standardized Data'!$A$2:$A$255,"Feb-2025"))</f>
        <v>2384.1511140866301</v>
      </c>
      <c r="H35" s="3">
        <f>IF(SUMIFS('Standardized Data'!$G$2:$G$255,'Standardized Data'!$B$2:$B$255,$A35,'Standardized Data'!$A$2:$A$255,"Mar-2025")=0,"",SUMIFS('Standardized Data'!$G$2:$G$255,'Standardized Data'!$B$2:$B$255,$A35,'Standardized Data'!$A$2:$A$255,"Mar-2025"))</f>
        <v>2511.7729143043798</v>
      </c>
      <c r="I35" s="3">
        <f>IF(SUMIFS('Standardized Data'!$G$2:$G$255,'Standardized Data'!$B$2:$B$255,$A35,'Standardized Data'!$A$2:$A$255,"Apr-2025")=0,"",SUMIFS('Standardized Data'!$G$2:$G$255,'Standardized Data'!$B$2:$B$255,$A35,'Standardized Data'!$A$2:$A$255,"Apr-2025"))</f>
        <v>2516.3571664481101</v>
      </c>
      <c r="J35" s="4">
        <f>IFERROR(AVERAGEIFS('Standardized Data'!$H$2:$H$255,'Standardized Data'!$B$2:$B$255,$A35),"")</f>
        <v>2.9449670738029057</v>
      </c>
      <c r="K35" s="4">
        <f>IFERROR(AVERAGEIFS('Standardized Data'!$I$2:$I$255,'Standardized Data'!$B$2:$B$255,$A35),"")</f>
        <v>64.702640517974558</v>
      </c>
      <c r="L35" s="3">
        <f t="shared" si="1"/>
        <v>2516.3571664481101</v>
      </c>
    </row>
    <row r="36" spans="1:12" x14ac:dyDescent="0.25">
      <c r="A36" s="2" t="s">
        <v>421</v>
      </c>
      <c r="B36" s="2" t="str">
        <f>IFERROR(INDEX('Standardized Data'!$D$2:$D$255,MATCH($A36,'Standardized Data'!$B$2:$B$255,0)),"")</f>
        <v>Confirmed</v>
      </c>
      <c r="C36" s="2">
        <f>COUNTIF('Standardized Data'!$B$2:$B$255,$A36)</f>
        <v>6</v>
      </c>
      <c r="D36" s="3">
        <f>IF(SUMIFS('Standardized Data'!$G$2:$G$255,'Standardized Data'!$B$2:$B$255,$A36,'Standardized Data'!$A$2:$A$255,"Nov-2024")=0,"",SUMIFS('Standardized Data'!$G$2:$G$255,'Standardized Data'!$B$2:$B$255,$A36,'Standardized Data'!$A$2:$A$255,"Nov-2024"))</f>
        <v>1540.046406979</v>
      </c>
      <c r="E36" s="3">
        <f>IF(SUMIFS('Standardized Data'!$G$2:$G$255,'Standardized Data'!$B$2:$B$255,$A36,'Standardized Data'!$A$2:$A$255,"Dec-2024")=0,"",SUMIFS('Standardized Data'!$G$2:$G$255,'Standardized Data'!$B$2:$B$255,$A36,'Standardized Data'!$A$2:$A$255,"Dec-2024"))</f>
        <v>1533.6809681028701</v>
      </c>
      <c r="F36" s="3">
        <f>IF(SUMIFS('Standardized Data'!$G$2:$G$255,'Standardized Data'!$B$2:$B$255,$A36,'Standardized Data'!$A$2:$A$255,"Jan-2025")=0,"",SUMIFS('Standardized Data'!$G$2:$G$255,'Standardized Data'!$B$2:$B$255,$A36,'Standardized Data'!$A$2:$A$255,"Jan-2025"))</f>
        <v>1876.0258662337501</v>
      </c>
      <c r="G36" s="3">
        <f>IF(SUMIFS('Standardized Data'!$G$2:$G$255,'Standardized Data'!$B$2:$B$255,$A36,'Standardized Data'!$A$2:$A$255,"Feb-2025")=0,"",SUMIFS('Standardized Data'!$G$2:$G$255,'Standardized Data'!$B$2:$B$255,$A36,'Standardized Data'!$A$2:$A$255,"Feb-2025"))</f>
        <v>1914.4990136459401</v>
      </c>
      <c r="H36" s="3">
        <f>IF(SUMIFS('Standardized Data'!$G$2:$G$255,'Standardized Data'!$B$2:$B$255,$A36,'Standardized Data'!$A$2:$A$255,"Mar-2025")=0,"",SUMIFS('Standardized Data'!$G$2:$G$255,'Standardized Data'!$B$2:$B$255,$A36,'Standardized Data'!$A$2:$A$255,"Mar-2025"))</f>
        <v>2002.5841717773301</v>
      </c>
      <c r="I36" s="3">
        <f>IF(SUMIFS('Standardized Data'!$G$2:$G$255,'Standardized Data'!$B$2:$B$255,$A36,'Standardized Data'!$A$2:$A$255,"Apr-2025")=0,"",SUMIFS('Standardized Data'!$G$2:$G$255,'Standardized Data'!$B$2:$B$255,$A36,'Standardized Data'!$A$2:$A$255,"Apr-2025"))</f>
        <v>2057.3966196227698</v>
      </c>
      <c r="J36" s="4">
        <f>IFERROR(AVERAGEIFS('Standardized Data'!$H$2:$H$255,'Standardized Data'!$B$2:$B$255,$A36),"")</f>
        <v>5.5793612203615561</v>
      </c>
      <c r="K36" s="4">
        <f>IFERROR(AVERAGEIFS('Standardized Data'!$I$2:$I$255,'Standardized Data'!$B$2:$B$255,$A36),"")</f>
        <v>116.20339890279949</v>
      </c>
      <c r="L36" s="3">
        <f t="shared" si="1"/>
        <v>2057.3966196227698</v>
      </c>
    </row>
    <row r="37" spans="1:12" x14ac:dyDescent="0.25">
      <c r="A37" s="2" t="s">
        <v>436</v>
      </c>
      <c r="B37" s="2" t="str">
        <f>IFERROR(INDEX('Standardized Data'!$D$2:$D$255,MATCH($A37,'Standardized Data'!$B$2:$B$255,0)),"")</f>
        <v>Confirmed</v>
      </c>
      <c r="C37" s="2">
        <f>COUNTIF('Standardized Data'!$B$2:$B$255,$A37)</f>
        <v>6</v>
      </c>
      <c r="D37" s="3">
        <f>IF(SUMIFS('Standardized Data'!$G$2:$G$255,'Standardized Data'!$B$2:$B$255,$A37,'Standardized Data'!$A$2:$A$255,"Nov-2024")=0,"",SUMIFS('Standardized Data'!$G$2:$G$255,'Standardized Data'!$B$2:$B$255,$A37,'Standardized Data'!$A$2:$A$255,"Nov-2024"))</f>
        <v>1566.20426620695</v>
      </c>
      <c r="E37" s="3">
        <f>IF(SUMIFS('Standardized Data'!$G$2:$G$255,'Standardized Data'!$B$2:$B$255,$A37,'Standardized Data'!$A$2:$A$255,"Dec-2024")=0,"",SUMIFS('Standardized Data'!$G$2:$G$255,'Standardized Data'!$B$2:$B$255,$A37,'Standardized Data'!$A$2:$A$255,"Dec-2024"))</f>
        <v>1550.1513842884699</v>
      </c>
      <c r="F37" s="3">
        <f>IF(SUMIFS('Standardized Data'!$G$2:$G$255,'Standardized Data'!$B$2:$B$255,$A37,'Standardized Data'!$A$2:$A$255,"Jan-2025")=0,"",SUMIFS('Standardized Data'!$G$2:$G$255,'Standardized Data'!$B$2:$B$255,$A37,'Standardized Data'!$A$2:$A$255,"Jan-2025"))</f>
        <v>2119.0689292685602</v>
      </c>
      <c r="G37" s="3">
        <f>IF(SUMIFS('Standardized Data'!$G$2:$G$255,'Standardized Data'!$B$2:$B$255,$A37,'Standardized Data'!$A$2:$A$255,"Feb-2025")=0,"",SUMIFS('Standardized Data'!$G$2:$G$255,'Standardized Data'!$B$2:$B$255,$A37,'Standardized Data'!$A$2:$A$255,"Feb-2025"))</f>
        <v>2127.6712684252502</v>
      </c>
      <c r="H37" s="3">
        <f>IF(SUMIFS('Standardized Data'!$G$2:$G$255,'Standardized Data'!$B$2:$B$255,$A37,'Standardized Data'!$A$2:$A$255,"Mar-2025")=0,"",SUMIFS('Standardized Data'!$G$2:$G$255,'Standardized Data'!$B$2:$B$255,$A37,'Standardized Data'!$A$2:$A$255,"Mar-2025"))</f>
        <v>2214.5652797776602</v>
      </c>
      <c r="I37" s="3">
        <f>IF(SUMIFS('Standardized Data'!$G$2:$G$255,'Standardized Data'!$B$2:$B$255,$A37,'Standardized Data'!$A$2:$A$255,"Apr-2025")=0,"",SUMIFS('Standardized Data'!$G$2:$G$255,'Standardized Data'!$B$2:$B$255,$A37,'Standardized Data'!$A$2:$A$255,"Apr-2025"))</f>
        <v>2231.8082619367001</v>
      </c>
      <c r="J37" s="4">
        <f>IFERROR(AVERAGEIFS('Standardized Data'!$H$2:$H$255,'Standardized Data'!$B$2:$B$255,$A37),"")</f>
        <v>7.1114421627029252</v>
      </c>
      <c r="K37" s="4">
        <f>IFERROR(AVERAGEIFS('Standardized Data'!$I$2:$I$255,'Standardized Data'!$B$2:$B$255,$A37),"")</f>
        <v>133.72148269444617</v>
      </c>
      <c r="L37" s="3">
        <f t="shared" si="1"/>
        <v>2231.8082619367001</v>
      </c>
    </row>
    <row r="38" spans="1:12" x14ac:dyDescent="0.25">
      <c r="A38" s="2" t="s">
        <v>449</v>
      </c>
      <c r="B38" s="2" t="str">
        <f>IFERROR(INDEX('Standardized Data'!$D$2:$D$255,MATCH($A38,'Standardized Data'!$B$2:$B$255,0)),"")</f>
        <v>Confirmed</v>
      </c>
      <c r="C38" s="2">
        <f>COUNTIF('Standardized Data'!$B$2:$B$255,$A38)</f>
        <v>6</v>
      </c>
      <c r="D38" s="3">
        <f>IF(SUMIFS('Standardized Data'!$G$2:$G$255,'Standardized Data'!$B$2:$B$255,$A38,'Standardized Data'!$A$2:$A$255,"Nov-2024")=0,"",SUMIFS('Standardized Data'!$G$2:$G$255,'Standardized Data'!$B$2:$B$255,$A38,'Standardized Data'!$A$2:$A$255,"Nov-2024"))</f>
        <v>1959.9827752788501</v>
      </c>
      <c r="E38" s="3">
        <f>IF(SUMIFS('Standardized Data'!$G$2:$G$255,'Standardized Data'!$B$2:$B$255,$A38,'Standardized Data'!$A$2:$A$255,"Dec-2024")=0,"",SUMIFS('Standardized Data'!$G$2:$G$255,'Standardized Data'!$B$2:$B$255,$A38,'Standardized Data'!$A$2:$A$255,"Dec-2024"))</f>
        <v>1944.40389945518</v>
      </c>
      <c r="F38" s="3">
        <f>IF(SUMIFS('Standardized Data'!$G$2:$G$255,'Standardized Data'!$B$2:$B$255,$A38,'Standardized Data'!$A$2:$A$255,"Jan-2025")=0,"",SUMIFS('Standardized Data'!$G$2:$G$255,'Standardized Data'!$B$2:$B$255,$A38,'Standardized Data'!$A$2:$A$255,"Jan-2025"))</f>
        <v>2067.99782298932</v>
      </c>
      <c r="G38" s="3">
        <f>IF(SUMIFS('Standardized Data'!$G$2:$G$255,'Standardized Data'!$B$2:$B$255,$A38,'Standardized Data'!$A$2:$A$255,"Feb-2025")=0,"",SUMIFS('Standardized Data'!$G$2:$G$255,'Standardized Data'!$B$2:$B$255,$A38,'Standardized Data'!$A$2:$A$255,"Feb-2025"))</f>
        <v>2088.8216830603901</v>
      </c>
      <c r="H38" s="3">
        <f>IF(SUMIFS('Standardized Data'!$G$2:$G$255,'Standardized Data'!$B$2:$B$255,$A38,'Standardized Data'!$A$2:$A$255,"Mar-2025")=0,"",SUMIFS('Standardized Data'!$G$2:$G$255,'Standardized Data'!$B$2:$B$255,$A38,'Standardized Data'!$A$2:$A$255,"Mar-2025"))</f>
        <v>2242.63821870628</v>
      </c>
      <c r="I38" s="3">
        <f>IF(SUMIFS('Standardized Data'!$G$2:$G$255,'Standardized Data'!$B$2:$B$255,$A38,'Standardized Data'!$A$2:$A$255,"Apr-2025")=0,"",SUMIFS('Standardized Data'!$G$2:$G$255,'Standardized Data'!$B$2:$B$255,$A38,'Standardized Data'!$A$2:$A$255,"Apr-2025"))</f>
        <v>2144.0498599702601</v>
      </c>
      <c r="J38" s="4">
        <f>IFERROR(AVERAGEIFS('Standardized Data'!$H$2:$H$255,'Standardized Data'!$B$2:$B$255,$A38),"")</f>
        <v>1.7208324570337716</v>
      </c>
      <c r="K38" s="4">
        <f>IFERROR(AVERAGEIFS('Standardized Data'!$I$2:$I$255,'Standardized Data'!$B$2:$B$255,$A38),"")</f>
        <v>88.58626636824998</v>
      </c>
      <c r="L38" s="3">
        <f t="shared" si="1"/>
        <v>2144.0498599702601</v>
      </c>
    </row>
    <row r="39" spans="1:12" x14ac:dyDescent="0.25">
      <c r="A39" s="2" t="s">
        <v>463</v>
      </c>
      <c r="B39" s="2" t="str">
        <f>IFERROR(INDEX('Standardized Data'!$D$2:$D$255,MATCH($A39,'Standardized Data'!$B$2:$B$255,0)),"")</f>
        <v>Confirmed</v>
      </c>
      <c r="C39" s="2">
        <f>COUNTIF('Standardized Data'!$B$2:$B$255,$A39)</f>
        <v>6</v>
      </c>
      <c r="D39" s="3">
        <f>IF(SUMIFS('Standardized Data'!$G$2:$G$255,'Standardized Data'!$B$2:$B$255,$A39,'Standardized Data'!$A$2:$A$255,"Nov-2024")=0,"",SUMIFS('Standardized Data'!$G$2:$G$255,'Standardized Data'!$B$2:$B$255,$A39,'Standardized Data'!$A$2:$A$255,"Nov-2024"))</f>
        <v>2489.1472970599498</v>
      </c>
      <c r="E39" s="3">
        <f>IF(SUMIFS('Standardized Data'!$G$2:$G$255,'Standardized Data'!$B$2:$B$255,$A39,'Standardized Data'!$A$2:$A$255,"Dec-2024")=0,"",SUMIFS('Standardized Data'!$G$2:$G$255,'Standardized Data'!$B$2:$B$255,$A39,'Standardized Data'!$A$2:$A$255,"Dec-2024"))</f>
        <v>2520.7757247703398</v>
      </c>
      <c r="F39" s="3">
        <f>IF(SUMIFS('Standardized Data'!$G$2:$G$255,'Standardized Data'!$B$2:$B$255,$A39,'Standardized Data'!$A$2:$A$255,"Jan-2025")=0,"",SUMIFS('Standardized Data'!$G$2:$G$255,'Standardized Data'!$B$2:$B$255,$A39,'Standardized Data'!$A$2:$A$255,"Jan-2025"))</f>
        <v>2505.47939908644</v>
      </c>
      <c r="G39" s="3">
        <f>IF(SUMIFS('Standardized Data'!$G$2:$G$255,'Standardized Data'!$B$2:$B$255,$A39,'Standardized Data'!$A$2:$A$255,"Feb-2025")=0,"",SUMIFS('Standardized Data'!$G$2:$G$255,'Standardized Data'!$B$2:$B$255,$A39,'Standardized Data'!$A$2:$A$255,"Feb-2025"))</f>
        <v>2565.0914537854501</v>
      </c>
      <c r="H39" s="3">
        <f>IF(SUMIFS('Standardized Data'!$G$2:$G$255,'Standardized Data'!$B$2:$B$255,$A39,'Standardized Data'!$A$2:$A$255,"Mar-2025")=0,"",SUMIFS('Standardized Data'!$G$2:$G$255,'Standardized Data'!$B$2:$B$255,$A39,'Standardized Data'!$A$2:$A$255,"Mar-2025"))</f>
        <v>2679.5060014625401</v>
      </c>
      <c r="I39" s="3">
        <f>IF(SUMIFS('Standardized Data'!$G$2:$G$255,'Standardized Data'!$B$2:$B$255,$A39,'Standardized Data'!$A$2:$A$255,"Apr-2025")=0,"",SUMIFS('Standardized Data'!$G$2:$G$255,'Standardized Data'!$B$2:$B$255,$A39,'Standardized Data'!$A$2:$A$255,"Apr-2025"))</f>
        <v>2574.11484187629</v>
      </c>
      <c r="J39" s="4">
        <f>IFERROR(AVERAGEIFS('Standardized Data'!$H$2:$H$255,'Standardized Data'!$B$2:$B$255,$A39),"")</f>
        <v>0.71552935819752495</v>
      </c>
      <c r="K39" s="4">
        <f>IFERROR(AVERAGEIFS('Standardized Data'!$I$2:$I$255,'Standardized Data'!$B$2:$B$255,$A39),"")</f>
        <v>81.460413587698014</v>
      </c>
      <c r="L39" s="3">
        <f t="shared" si="1"/>
        <v>2574.11484187629</v>
      </c>
    </row>
    <row r="40" spans="1:12" x14ac:dyDescent="0.25">
      <c r="A40" s="2" t="s">
        <v>476</v>
      </c>
      <c r="B40" s="2" t="str">
        <f>IFERROR(INDEX('Standardized Data'!$D$2:$D$255,MATCH($A40,'Standardized Data'!$B$2:$B$255,0)),"")</f>
        <v>Discontinued</v>
      </c>
      <c r="C40" s="2">
        <f>COUNTIF('Standardized Data'!$B$2:$B$255,$A40)</f>
        <v>2</v>
      </c>
      <c r="D40" s="3">
        <f>IF(SUMIFS('Standardized Data'!$G$2:$G$255,'Standardized Data'!$B$2:$B$255,$A40,'Standardized Data'!$A$2:$A$255,"Nov-2024")=0,"",SUMIFS('Standardized Data'!$G$2:$G$255,'Standardized Data'!$B$2:$B$255,$A40,'Standardized Data'!$A$2:$A$255,"Nov-2024"))</f>
        <v>2104.43470961504</v>
      </c>
      <c r="E40" s="3">
        <f>IF(SUMIFS('Standardized Data'!$G$2:$G$255,'Standardized Data'!$B$2:$B$255,$A40,'Standardized Data'!$A$2:$A$255,"Dec-2024")=0,"",SUMIFS('Standardized Data'!$G$2:$G$255,'Standardized Data'!$B$2:$B$255,$A40,'Standardized Data'!$A$2:$A$255,"Dec-2024"))</f>
        <v>2092.3905788274701</v>
      </c>
      <c r="F40" s="3" t="str">
        <f>IF(SUMIFS('Standardized Data'!$G$2:$G$255,'Standardized Data'!$B$2:$B$255,$A40,'Standardized Data'!$A$2:$A$255,"Jan-2025")=0,"",SUMIFS('Standardized Data'!$G$2:$G$255,'Standardized Data'!$B$2:$B$255,$A40,'Standardized Data'!$A$2:$A$255,"Jan-2025"))</f>
        <v/>
      </c>
      <c r="G40" s="3" t="str">
        <f>IF(SUMIFS('Standardized Data'!$G$2:$G$255,'Standardized Data'!$B$2:$B$255,$A40,'Standardized Data'!$A$2:$A$255,"Feb-2025")=0,"",SUMIFS('Standardized Data'!$G$2:$G$255,'Standardized Data'!$B$2:$B$255,$A40,'Standardized Data'!$A$2:$A$255,"Feb-2025"))</f>
        <v/>
      </c>
      <c r="H40" s="3" t="str">
        <f>IF(SUMIFS('Standardized Data'!$G$2:$G$255,'Standardized Data'!$B$2:$B$255,$A40,'Standardized Data'!$A$2:$A$255,"Mar-2025")=0,"",SUMIFS('Standardized Data'!$G$2:$G$255,'Standardized Data'!$B$2:$B$255,$A40,'Standardized Data'!$A$2:$A$255,"Mar-2025"))</f>
        <v/>
      </c>
      <c r="I40" s="3" t="str">
        <f>IF(SUMIFS('Standardized Data'!$G$2:$G$255,'Standardized Data'!$B$2:$B$255,$A40,'Standardized Data'!$A$2:$A$255,"Apr-2025")=0,"",SUMIFS('Standardized Data'!$G$2:$G$255,'Standardized Data'!$B$2:$B$255,$A40,'Standardized Data'!$A$2:$A$255,"Apr-2025"))</f>
        <v/>
      </c>
      <c r="J40" s="4">
        <f>IFERROR(AVERAGEIFS('Standardized Data'!$H$2:$H$255,'Standardized Data'!$B$2:$B$255,$A40),"")</f>
        <v>0.58990638283219754</v>
      </c>
      <c r="K40" s="4">
        <f>IFERROR(AVERAGEIFS('Standardized Data'!$I$2:$I$255,'Standardized Data'!$B$2:$B$255,$A40),"")</f>
        <v>117.947724720349</v>
      </c>
      <c r="L40" s="3">
        <f t="shared" si="1"/>
        <v>2092.3905788274701</v>
      </c>
    </row>
    <row r="41" spans="1:12" x14ac:dyDescent="0.25">
      <c r="A41" s="2" t="s">
        <v>481</v>
      </c>
      <c r="B41" s="2" t="str">
        <f>IFERROR(INDEX('Standardized Data'!$D$2:$D$255,MATCH($A41,'Standardized Data'!$B$2:$B$255,0)),"")</f>
        <v>Discontinued</v>
      </c>
      <c r="C41" s="2">
        <f>COUNTIF('Standardized Data'!$B$2:$B$255,$A41)</f>
        <v>2</v>
      </c>
      <c r="D41" s="3">
        <f>IF(SUMIFS('Standardized Data'!$G$2:$G$255,'Standardized Data'!$B$2:$B$255,$A41,'Standardized Data'!$A$2:$A$255,"Nov-2024")=0,"",SUMIFS('Standardized Data'!$G$2:$G$255,'Standardized Data'!$B$2:$B$255,$A41,'Standardized Data'!$A$2:$A$255,"Nov-2024"))</f>
        <v>2042.3536770686101</v>
      </c>
      <c r="E41" s="3">
        <f>IF(SUMIFS('Standardized Data'!$G$2:$G$255,'Standardized Data'!$B$2:$B$255,$A41,'Standardized Data'!$A$2:$A$255,"Dec-2024")=0,"",SUMIFS('Standardized Data'!$G$2:$G$255,'Standardized Data'!$B$2:$B$255,$A41,'Standardized Data'!$A$2:$A$255,"Dec-2024"))</f>
        <v>2037.30324925339</v>
      </c>
      <c r="F41" s="3" t="str">
        <f>IF(SUMIFS('Standardized Data'!$G$2:$G$255,'Standardized Data'!$B$2:$B$255,$A41,'Standardized Data'!$A$2:$A$255,"Jan-2025")=0,"",SUMIFS('Standardized Data'!$G$2:$G$255,'Standardized Data'!$B$2:$B$255,$A41,'Standardized Data'!$A$2:$A$255,"Jan-2025"))</f>
        <v/>
      </c>
      <c r="G41" s="3" t="str">
        <f>IF(SUMIFS('Standardized Data'!$G$2:$G$255,'Standardized Data'!$B$2:$B$255,$A41,'Standardized Data'!$A$2:$A$255,"Feb-2025")=0,"",SUMIFS('Standardized Data'!$G$2:$G$255,'Standardized Data'!$B$2:$B$255,$A41,'Standardized Data'!$A$2:$A$255,"Feb-2025"))</f>
        <v/>
      </c>
      <c r="H41" s="3" t="str">
        <f>IF(SUMIFS('Standardized Data'!$G$2:$G$255,'Standardized Data'!$B$2:$B$255,$A41,'Standardized Data'!$A$2:$A$255,"Mar-2025")=0,"",SUMIFS('Standardized Data'!$G$2:$G$255,'Standardized Data'!$B$2:$B$255,$A41,'Standardized Data'!$A$2:$A$255,"Mar-2025"))</f>
        <v/>
      </c>
      <c r="I41" s="3" t="str">
        <f>IF(SUMIFS('Standardized Data'!$G$2:$G$255,'Standardized Data'!$B$2:$B$255,$A41,'Standardized Data'!$A$2:$A$255,"Apr-2025")=0,"",SUMIFS('Standardized Data'!$G$2:$G$255,'Standardized Data'!$B$2:$B$255,$A41,'Standardized Data'!$A$2:$A$255,"Apr-2025"))</f>
        <v/>
      </c>
      <c r="J41" s="4">
        <f>IFERROR(AVERAGEIFS('Standardized Data'!$H$2:$H$255,'Standardized Data'!$B$2:$B$255,$A41),"")</f>
        <v>0.33764022643062797</v>
      </c>
      <c r="K41" s="4">
        <f>IFERROR(AVERAGEIFS('Standardized Data'!$I$2:$I$255,'Standardized Data'!$B$2:$B$255,$A41),"")</f>
        <v>116.14750167074</v>
      </c>
      <c r="L41" s="3">
        <f t="shared" si="1"/>
        <v>2037.30324925339</v>
      </c>
    </row>
    <row r="42" spans="1:12" x14ac:dyDescent="0.25">
      <c r="A42" s="2" t="s">
        <v>486</v>
      </c>
      <c r="B42" s="2" t="str">
        <f>IFERROR(INDEX('Standardized Data'!$D$2:$D$255,MATCH($A42,'Standardized Data'!$B$2:$B$255,0)),"")</f>
        <v>New (2025)</v>
      </c>
      <c r="C42" s="2">
        <f>COUNTIF('Standardized Data'!$B$2:$B$255,$A42)</f>
        <v>4</v>
      </c>
      <c r="D42" s="3" t="str">
        <f>IF(SUMIFS('Standardized Data'!$G$2:$G$255,'Standardized Data'!$B$2:$B$255,$A42,'Standardized Data'!$A$2:$A$255,"Nov-2024")=0,"",SUMIFS('Standardized Data'!$G$2:$G$255,'Standardized Data'!$B$2:$B$255,$A42,'Standardized Data'!$A$2:$A$255,"Nov-2024"))</f>
        <v/>
      </c>
      <c r="E42" s="3" t="str">
        <f>IF(SUMIFS('Standardized Data'!$G$2:$G$255,'Standardized Data'!$B$2:$B$255,$A42,'Standardized Data'!$A$2:$A$255,"Dec-2024")=0,"",SUMIFS('Standardized Data'!$G$2:$G$255,'Standardized Data'!$B$2:$B$255,$A42,'Standardized Data'!$A$2:$A$255,"Dec-2024"))</f>
        <v/>
      </c>
      <c r="F42" s="3">
        <f>IF(SUMIFS('Standardized Data'!$G$2:$G$255,'Standardized Data'!$B$2:$B$255,$A42,'Standardized Data'!$A$2:$A$255,"Jan-2025")=0,"",SUMIFS('Standardized Data'!$G$2:$G$255,'Standardized Data'!$B$2:$B$255,$A42,'Standardized Data'!$A$2:$A$255,"Jan-2025"))</f>
        <v>2072.0011794684701</v>
      </c>
      <c r="G42" s="3">
        <f>IF(SUMIFS('Standardized Data'!$G$2:$G$255,'Standardized Data'!$B$2:$B$255,$A42,'Standardized Data'!$A$2:$A$255,"Feb-2025")=0,"",SUMIFS('Standardized Data'!$G$2:$G$255,'Standardized Data'!$B$2:$B$255,$A42,'Standardized Data'!$A$2:$A$255,"Feb-2025"))</f>
        <v>2089.7943657252299</v>
      </c>
      <c r="H42" s="3">
        <f>IF(SUMIFS('Standardized Data'!$G$2:$G$255,'Standardized Data'!$B$2:$B$255,$A42,'Standardized Data'!$A$2:$A$255,"Mar-2025")=0,"",SUMIFS('Standardized Data'!$G$2:$G$255,'Standardized Data'!$B$2:$B$255,$A42,'Standardized Data'!$A$2:$A$255,"Mar-2025"))</f>
        <v>2173.1178654254099</v>
      </c>
      <c r="I42" s="3">
        <f>IF(SUMIFS('Standardized Data'!$G$2:$G$255,'Standardized Data'!$B$2:$B$255,$A42,'Standardized Data'!$A$2:$A$255,"Apr-2025")=0,"",SUMIFS('Standardized Data'!$G$2:$G$255,'Standardized Data'!$B$2:$B$255,$A42,'Standardized Data'!$A$2:$A$255,"Apr-2025"))</f>
        <v>2257.19816002057</v>
      </c>
      <c r="J42" s="4">
        <f>IFERROR(AVERAGEIFS('Standardized Data'!$H$2:$H$255,'Standardized Data'!$B$2:$B$255,$A42),"")</f>
        <v>2.9050051463098221</v>
      </c>
      <c r="K42" s="4" t="str">
        <f>IFERROR(AVERAGEIFS('Standardized Data'!$I$2:$I$255,'Standardized Data'!$B$2:$B$255,$A42),"")</f>
        <v/>
      </c>
      <c r="L42" s="3">
        <f t="shared" si="1"/>
        <v>2257.19816002057</v>
      </c>
    </row>
    <row r="43" spans="1:12" x14ac:dyDescent="0.25">
      <c r="A43" s="2" t="s">
        <v>494</v>
      </c>
      <c r="B43" s="2" t="str">
        <f>IFERROR(INDEX('Standardized Data'!$D$2:$D$255,MATCH($A43,'Standardized Data'!$B$2:$B$255,0)),"")</f>
        <v>New (2025)</v>
      </c>
      <c r="C43" s="2">
        <f>COUNTIF('Standardized Data'!$B$2:$B$255,$A43)</f>
        <v>4</v>
      </c>
      <c r="D43" s="3" t="str">
        <f>IF(SUMIFS('Standardized Data'!$G$2:$G$255,'Standardized Data'!$B$2:$B$255,$A43,'Standardized Data'!$A$2:$A$255,"Nov-2024")=0,"",SUMIFS('Standardized Data'!$G$2:$G$255,'Standardized Data'!$B$2:$B$255,$A43,'Standardized Data'!$A$2:$A$255,"Nov-2024"))</f>
        <v/>
      </c>
      <c r="E43" s="3" t="str">
        <f>IF(SUMIFS('Standardized Data'!$G$2:$G$255,'Standardized Data'!$B$2:$B$255,$A43,'Standardized Data'!$A$2:$A$255,"Dec-2024")=0,"",SUMIFS('Standardized Data'!$G$2:$G$255,'Standardized Data'!$B$2:$B$255,$A43,'Standardized Data'!$A$2:$A$255,"Dec-2024"))</f>
        <v/>
      </c>
      <c r="F43" s="3">
        <f>IF(SUMIFS('Standardized Data'!$G$2:$G$255,'Standardized Data'!$B$2:$B$255,$A43,'Standardized Data'!$A$2:$A$255,"Jan-2025")=0,"",SUMIFS('Standardized Data'!$G$2:$G$255,'Standardized Data'!$B$2:$B$255,$A43,'Standardized Data'!$A$2:$A$255,"Jan-2025"))</f>
        <v>5407.6326790166704</v>
      </c>
      <c r="G43" s="3">
        <f>IF(SUMIFS('Standardized Data'!$G$2:$G$255,'Standardized Data'!$B$2:$B$255,$A43,'Standardized Data'!$A$2:$A$255,"Feb-2025")=0,"",SUMIFS('Standardized Data'!$G$2:$G$255,'Standardized Data'!$B$2:$B$255,$A43,'Standardized Data'!$A$2:$A$255,"Feb-2025"))</f>
        <v>5458.01897597883</v>
      </c>
      <c r="H43" s="3">
        <f>IF(SUMIFS('Standardized Data'!$G$2:$G$255,'Standardized Data'!$B$2:$B$255,$A43,'Standardized Data'!$A$2:$A$255,"Mar-2025")=0,"",SUMIFS('Standardized Data'!$G$2:$G$255,'Standardized Data'!$B$2:$B$255,$A43,'Standardized Data'!$A$2:$A$255,"Mar-2025"))</f>
        <v>5752.7551214759096</v>
      </c>
      <c r="I43" s="3">
        <f>IF(SUMIFS('Standardized Data'!$G$2:$G$255,'Standardized Data'!$B$2:$B$255,$A43,'Standardized Data'!$A$2:$A$255,"Apr-2025")=0,"",SUMIFS('Standardized Data'!$G$2:$G$255,'Standardized Data'!$B$2:$B$255,$A43,'Standardized Data'!$A$2:$A$255,"Apr-2025"))</f>
        <v>5920.8372821896501</v>
      </c>
      <c r="J43" s="4">
        <f>IFERROR(AVERAGEIFS('Standardized Data'!$H$2:$H$255,'Standardized Data'!$B$2:$B$255,$A43),"")</f>
        <v>3.0845292619870786</v>
      </c>
      <c r="K43" s="4" t="str">
        <f>IFERROR(AVERAGEIFS('Standardized Data'!$I$2:$I$255,'Standardized Data'!$B$2:$B$255,$A43),"")</f>
        <v/>
      </c>
      <c r="L43" s="3">
        <f t="shared" si="1"/>
        <v>5920.8372821896501</v>
      </c>
    </row>
    <row r="44" spans="1:12" x14ac:dyDescent="0.25">
      <c r="A44" s="2" t="s">
        <v>502</v>
      </c>
      <c r="B44" s="2" t="str">
        <f>IFERROR(INDEX('Standardized Data'!$D$2:$D$255,MATCH($A44,'Standardized Data'!$B$2:$B$255,0)),"")</f>
        <v>Confirmed</v>
      </c>
      <c r="C44" s="2">
        <f>COUNTIF('Standardized Data'!$B$2:$B$255,$A44)</f>
        <v>6</v>
      </c>
      <c r="D44" s="3">
        <f>IF(SUMIFS('Standardized Data'!$G$2:$G$255,'Standardized Data'!$B$2:$B$255,$A44,'Standardized Data'!$A$2:$A$255,"Nov-2024")=0,"",SUMIFS('Standardized Data'!$G$2:$G$255,'Standardized Data'!$B$2:$B$255,$A44,'Standardized Data'!$A$2:$A$255,"Nov-2024"))</f>
        <v>942.23834413034206</v>
      </c>
      <c r="E44" s="3">
        <f>IF(SUMIFS('Standardized Data'!$G$2:$G$255,'Standardized Data'!$B$2:$B$255,$A44,'Standardized Data'!$A$2:$A$255,"Dec-2024")=0,"",SUMIFS('Standardized Data'!$G$2:$G$255,'Standardized Data'!$B$2:$B$255,$A44,'Standardized Data'!$A$2:$A$255,"Dec-2024"))</f>
        <v>930.78900812666495</v>
      </c>
      <c r="F44" s="3">
        <f>IF(SUMIFS('Standardized Data'!$G$2:$G$255,'Standardized Data'!$B$2:$B$255,$A44,'Standardized Data'!$A$2:$A$255,"Jan-2025")=0,"",SUMIFS('Standardized Data'!$G$2:$G$255,'Standardized Data'!$B$2:$B$255,$A44,'Standardized Data'!$A$2:$A$255,"Jan-2025"))</f>
        <v>852.51531154864904</v>
      </c>
      <c r="G44" s="3">
        <f>IF(SUMIFS('Standardized Data'!$G$2:$G$255,'Standardized Data'!$B$2:$B$255,$A44,'Standardized Data'!$A$2:$A$255,"Feb-2025")=0,"",SUMIFS('Standardized Data'!$G$2:$G$255,'Standardized Data'!$B$2:$B$255,$A44,'Standardized Data'!$A$2:$A$255,"Feb-2025"))</f>
        <v>823.29869998066295</v>
      </c>
      <c r="H44" s="3">
        <f>IF(SUMIFS('Standardized Data'!$G$2:$G$255,'Standardized Data'!$B$2:$B$255,$A44,'Standardized Data'!$A$2:$A$255,"Mar-2025")=0,"",SUMIFS('Standardized Data'!$G$2:$G$255,'Standardized Data'!$B$2:$B$255,$A44,'Standardized Data'!$A$2:$A$255,"Mar-2025"))</f>
        <v>909.88487977933903</v>
      </c>
      <c r="I44" s="3">
        <f>IF(SUMIFS('Standardized Data'!$G$2:$G$255,'Standardized Data'!$B$2:$B$255,$A44,'Standardized Data'!$A$2:$A$255,"Apr-2025")=0,"",SUMIFS('Standardized Data'!$G$2:$G$255,'Standardized Data'!$B$2:$B$255,$A44,'Standardized Data'!$A$2:$A$255,"Apr-2025"))</f>
        <v>938.42378465177205</v>
      </c>
      <c r="J44" s="4">
        <f>IFERROR(AVERAGEIFS('Standardized Data'!$H$2:$H$255,'Standardized Data'!$B$2:$B$255,$A44),"")</f>
        <v>0.91101886517232789</v>
      </c>
      <c r="K44" s="4">
        <f>IFERROR(AVERAGEIFS('Standardized Data'!$I$2:$I$255,'Standardized Data'!$B$2:$B$255,$A44),"")</f>
        <v>44.950951678384506</v>
      </c>
      <c r="L44" s="3">
        <f t="shared" si="1"/>
        <v>938.42378465177205</v>
      </c>
    </row>
    <row r="45" spans="1:12" x14ac:dyDescent="0.25">
      <c r="A45" s="2" t="s">
        <v>515</v>
      </c>
      <c r="B45" s="2" t="str">
        <f>IFERROR(INDEX('Standardized Data'!$D$2:$D$255,MATCH($A45,'Standardized Data'!$B$2:$B$255,0)),"")</f>
        <v>Confirmed</v>
      </c>
      <c r="C45" s="2">
        <f>COUNTIF('Standardized Data'!$B$2:$B$255,$A45)</f>
        <v>6</v>
      </c>
      <c r="D45" s="3">
        <f>IF(SUMIFS('Standardized Data'!$G$2:$G$255,'Standardized Data'!$B$2:$B$255,$A45,'Standardized Data'!$A$2:$A$255,"Nov-2024")=0,"",SUMIFS('Standardized Data'!$G$2:$G$255,'Standardized Data'!$B$2:$B$255,$A45,'Standardized Data'!$A$2:$A$255,"Nov-2024"))</f>
        <v>4039.6252556423601</v>
      </c>
      <c r="E45" s="3">
        <f>IF(SUMIFS('Standardized Data'!$G$2:$G$255,'Standardized Data'!$B$2:$B$255,$A45,'Standardized Data'!$A$2:$A$255,"Dec-2024")=0,"",SUMIFS('Standardized Data'!$G$2:$G$255,'Standardized Data'!$B$2:$B$255,$A45,'Standardized Data'!$A$2:$A$255,"Dec-2024"))</f>
        <v>4106.7161954740204</v>
      </c>
      <c r="F45" s="3">
        <f>IF(SUMIFS('Standardized Data'!$G$2:$G$255,'Standardized Data'!$B$2:$B$255,$A45,'Standardized Data'!$A$2:$A$255,"Jan-2025")=0,"",SUMIFS('Standardized Data'!$G$2:$G$255,'Standardized Data'!$B$2:$B$255,$A45,'Standardized Data'!$A$2:$A$255,"Jan-2025"))</f>
        <v>5065.3631911843804</v>
      </c>
      <c r="G45" s="3">
        <f>IF(SUMIFS('Standardized Data'!$G$2:$G$255,'Standardized Data'!$B$2:$B$255,$A45,'Standardized Data'!$A$2:$A$255,"Feb-2025")=0,"",SUMIFS('Standardized Data'!$G$2:$G$255,'Standardized Data'!$B$2:$B$255,$A45,'Standardized Data'!$A$2:$A$255,"Feb-2025"))</f>
        <v>5103.9420286918903</v>
      </c>
      <c r="H45" s="3">
        <f>IF(SUMIFS('Standardized Data'!$G$2:$G$255,'Standardized Data'!$B$2:$B$255,$A45,'Standardized Data'!$A$2:$A$255,"Mar-2025")=0,"",SUMIFS('Standardized Data'!$G$2:$G$255,'Standardized Data'!$B$2:$B$255,$A45,'Standardized Data'!$A$2:$A$255,"Mar-2025"))</f>
        <v>5459.0421429298303</v>
      </c>
      <c r="I45" s="3">
        <f>IF(SUMIFS('Standardized Data'!$G$2:$G$255,'Standardized Data'!$B$2:$B$255,$A45,'Standardized Data'!$A$2:$A$255,"Apr-2025")=0,"",SUMIFS('Standardized Data'!$G$2:$G$255,'Standardized Data'!$B$2:$B$255,$A45,'Standardized Data'!$A$2:$A$255,"Apr-2025"))</f>
        <v>5489.2820246853198</v>
      </c>
      <c r="J45" s="4">
        <f>IFERROR(AVERAGEIFS('Standardized Data'!$H$2:$H$255,'Standardized Data'!$B$2:$B$255,$A45),"")</f>
        <v>5.948583276673741</v>
      </c>
      <c r="K45" s="4">
        <f>IFERROR(AVERAGEIFS('Standardized Data'!$I$2:$I$255,'Standardized Data'!$B$2:$B$255,$A45),"")</f>
        <v>105.83781937288173</v>
      </c>
      <c r="L45" s="3">
        <f t="shared" si="1"/>
        <v>5489.2820246853198</v>
      </c>
    </row>
    <row r="46" spans="1:12" x14ac:dyDescent="0.25">
      <c r="A46" s="2" t="s">
        <v>528</v>
      </c>
      <c r="B46" s="2" t="str">
        <f>IFERROR(INDEX('Standardized Data'!$D$2:$D$255,MATCH($A46,'Standardized Data'!$B$2:$B$255,0)),"")</f>
        <v>Confirmed</v>
      </c>
      <c r="C46" s="2">
        <f>COUNTIF('Standardized Data'!$B$2:$B$255,$A46)</f>
        <v>6</v>
      </c>
      <c r="D46" s="3">
        <f>IF(SUMIFS('Standardized Data'!$G$2:$G$255,'Standardized Data'!$B$2:$B$255,$A46,'Standardized Data'!$A$2:$A$255,"Nov-2024")=0,"",SUMIFS('Standardized Data'!$G$2:$G$255,'Standardized Data'!$B$2:$B$255,$A46,'Standardized Data'!$A$2:$A$255,"Nov-2024"))</f>
        <v>991.20399188409101</v>
      </c>
      <c r="E46" s="3">
        <f>IF(SUMIFS('Standardized Data'!$G$2:$G$255,'Standardized Data'!$B$2:$B$255,$A46,'Standardized Data'!$A$2:$A$255,"Dec-2024")=0,"",SUMIFS('Standardized Data'!$G$2:$G$255,'Standardized Data'!$B$2:$B$255,$A46,'Standardized Data'!$A$2:$A$255,"Dec-2024"))</f>
        <v>1014.7414650661</v>
      </c>
      <c r="F46" s="3">
        <f>IF(SUMIFS('Standardized Data'!$G$2:$G$255,'Standardized Data'!$B$2:$B$255,$A46,'Standardized Data'!$A$2:$A$255,"Jan-2025")=0,"",SUMIFS('Standardized Data'!$G$2:$G$255,'Standardized Data'!$B$2:$B$255,$A46,'Standardized Data'!$A$2:$A$255,"Jan-2025"))</f>
        <v>928.00162815407703</v>
      </c>
      <c r="G46" s="3">
        <f>IF(SUMIFS('Standardized Data'!$G$2:$G$255,'Standardized Data'!$B$2:$B$255,$A46,'Standardized Data'!$A$2:$A$255,"Feb-2025")=0,"",SUMIFS('Standardized Data'!$G$2:$G$255,'Standardized Data'!$B$2:$B$255,$A46,'Standardized Data'!$A$2:$A$255,"Feb-2025"))</f>
        <v>931.03473383633604</v>
      </c>
      <c r="H46" s="3">
        <f>IF(SUMIFS('Standardized Data'!$G$2:$G$255,'Standardized Data'!$B$2:$B$255,$A46,'Standardized Data'!$A$2:$A$255,"Mar-2025")=0,"",SUMIFS('Standardized Data'!$G$2:$G$255,'Standardized Data'!$B$2:$B$255,$A46,'Standardized Data'!$A$2:$A$255,"Mar-2025"))</f>
        <v>999.17967446513501</v>
      </c>
      <c r="I46" s="3">
        <f>IF(SUMIFS('Standardized Data'!$G$2:$G$255,'Standardized Data'!$B$2:$B$255,$A46,'Standardized Data'!$A$2:$A$255,"Apr-2025")=0,"",SUMIFS('Standardized Data'!$G$2:$G$255,'Standardized Data'!$B$2:$B$255,$A46,'Standardized Data'!$A$2:$A$255,"Apr-2025"))</f>
        <v>994.19173616473597</v>
      </c>
      <c r="J46" s="4">
        <f>IFERROR(AVERAGEIFS('Standardized Data'!$H$2:$H$255,'Standardized Data'!$B$2:$B$255,$A46),"")</f>
        <v>0.78093102794511904</v>
      </c>
      <c r="K46" s="4">
        <f>IFERROR(AVERAGEIFS('Standardized Data'!$I$2:$I$255,'Standardized Data'!$B$2:$B$255,$A46),"")</f>
        <v>61.518941923592514</v>
      </c>
      <c r="L46" s="3">
        <f t="shared" si="1"/>
        <v>994.19173616473597</v>
      </c>
    </row>
    <row r="47" spans="1:12" x14ac:dyDescent="0.25">
      <c r="A47" s="2" t="s">
        <v>542</v>
      </c>
      <c r="B47" s="2" t="str">
        <f>IFERROR(INDEX('Standardized Data'!$D$2:$D$255,MATCH($A47,'Standardized Data'!$B$2:$B$255,0)),"")</f>
        <v>Likely</v>
      </c>
      <c r="C47" s="2">
        <f>COUNTIF('Standardized Data'!$B$2:$B$255,$A47)</f>
        <v>6</v>
      </c>
      <c r="D47" s="3">
        <f>IF(SUMIFS('Standardized Data'!$G$2:$G$255,'Standardized Data'!$B$2:$B$255,$A47,'Standardized Data'!$A$2:$A$255,"Nov-2024")=0,"",SUMIFS('Standardized Data'!$G$2:$G$255,'Standardized Data'!$B$2:$B$255,$A47,'Standardized Data'!$A$2:$A$255,"Nov-2024"))</f>
        <v>873.77102001760204</v>
      </c>
      <c r="E47" s="3">
        <f>IF(SUMIFS('Standardized Data'!$G$2:$G$255,'Standardized Data'!$B$2:$B$255,$A47,'Standardized Data'!$A$2:$A$255,"Dec-2024")=0,"",SUMIFS('Standardized Data'!$G$2:$G$255,'Standardized Data'!$B$2:$B$255,$A47,'Standardized Data'!$A$2:$A$255,"Dec-2024"))</f>
        <v>887.45091137505199</v>
      </c>
      <c r="F47" s="3">
        <f>IF(SUMIFS('Standardized Data'!$G$2:$G$255,'Standardized Data'!$B$2:$B$255,$A47,'Standardized Data'!$A$2:$A$255,"Jan-2025")=0,"",SUMIFS('Standardized Data'!$G$2:$G$255,'Standardized Data'!$B$2:$B$255,$A47,'Standardized Data'!$A$2:$A$255,"Jan-2025"))</f>
        <v>837.23255124624598</v>
      </c>
      <c r="G47" s="3">
        <f>IF(SUMIFS('Standardized Data'!$G$2:$G$255,'Standardized Data'!$B$2:$B$255,$A47,'Standardized Data'!$A$2:$A$255,"Feb-2025")=0,"",SUMIFS('Standardized Data'!$G$2:$G$255,'Standardized Data'!$B$2:$B$255,$A47,'Standardized Data'!$A$2:$A$255,"Feb-2025"))</f>
        <v>827.31484440540498</v>
      </c>
      <c r="H47" s="3">
        <f>IF(SUMIFS('Standardized Data'!$G$2:$G$255,'Standardized Data'!$B$2:$B$255,$A47,'Standardized Data'!$A$2:$A$255,"Mar-2025")=0,"",SUMIFS('Standardized Data'!$G$2:$G$255,'Standardized Data'!$B$2:$B$255,$A47,'Standardized Data'!$A$2:$A$255,"Mar-2025"))</f>
        <v>872.13527080810798</v>
      </c>
      <c r="I47" s="3">
        <f>IF(SUMIFS('Standardized Data'!$G$2:$G$255,'Standardized Data'!$B$2:$B$255,$A47,'Standardized Data'!$A$2:$A$255,"Apr-2025")=0,"",SUMIFS('Standardized Data'!$G$2:$G$255,'Standardized Data'!$B$2:$B$255,$A47,'Standardized Data'!$A$2:$A$255,"Apr-2025"))</f>
        <v>888.91036973350299</v>
      </c>
      <c r="J47" s="4">
        <f>IFERROR(AVERAGEIFS('Standardized Data'!$H$2:$H$255,'Standardized Data'!$B$2:$B$255,$A47),"")</f>
        <v>2.2692663587880966</v>
      </c>
      <c r="K47" s="4">
        <f>IFERROR(AVERAGEIFS('Standardized Data'!$I$2:$I$255,'Standardized Data'!$B$2:$B$255,$A47),"")</f>
        <v>83.945929765436404</v>
      </c>
      <c r="L47" s="3">
        <f t="shared" si="1"/>
        <v>888.91036973350299</v>
      </c>
    </row>
    <row r="48" spans="1:12" x14ac:dyDescent="0.25">
      <c r="A48" s="2" t="s">
        <v>555</v>
      </c>
      <c r="B48" s="2" t="str">
        <f>IFERROR(INDEX('Standardized Data'!$D$2:$D$255,MATCH($A48,'Standardized Data'!$B$2:$B$255,0)),"")</f>
        <v>Confirmed</v>
      </c>
      <c r="C48" s="2">
        <f>COUNTIF('Standardized Data'!$B$2:$B$255,$A48)</f>
        <v>6</v>
      </c>
      <c r="D48" s="3">
        <f>IF(SUMIFS('Standardized Data'!$G$2:$G$255,'Standardized Data'!$B$2:$B$255,$A48,'Standardized Data'!$A$2:$A$255,"Nov-2024")=0,"",SUMIFS('Standardized Data'!$G$2:$G$255,'Standardized Data'!$B$2:$B$255,$A48,'Standardized Data'!$A$2:$A$255,"Nov-2024"))</f>
        <v>4626.8186758829997</v>
      </c>
      <c r="E48" s="3">
        <f>IF(SUMIFS('Standardized Data'!$G$2:$G$255,'Standardized Data'!$B$2:$B$255,$A48,'Standardized Data'!$A$2:$A$255,"Dec-2024")=0,"",SUMIFS('Standardized Data'!$G$2:$G$255,'Standardized Data'!$B$2:$B$255,$A48,'Standardized Data'!$A$2:$A$255,"Dec-2024"))</f>
        <v>4725.1654426294299</v>
      </c>
      <c r="F48" s="3">
        <f>IF(SUMIFS('Standardized Data'!$G$2:$G$255,'Standardized Data'!$B$2:$B$255,$A48,'Standardized Data'!$A$2:$A$255,"Jan-2025")=0,"",SUMIFS('Standardized Data'!$G$2:$G$255,'Standardized Data'!$B$2:$B$255,$A48,'Standardized Data'!$A$2:$A$255,"Jan-2025"))</f>
        <v>5467.23134462281</v>
      </c>
      <c r="G48" s="3">
        <f>IF(SUMIFS('Standardized Data'!$G$2:$G$255,'Standardized Data'!$B$2:$B$255,$A48,'Standardized Data'!$A$2:$A$255,"Feb-2025")=0,"",SUMIFS('Standardized Data'!$G$2:$G$255,'Standardized Data'!$B$2:$B$255,$A48,'Standardized Data'!$A$2:$A$255,"Feb-2025"))</f>
        <v>5564.28907556592</v>
      </c>
      <c r="H48" s="3">
        <f>IF(SUMIFS('Standardized Data'!$G$2:$G$255,'Standardized Data'!$B$2:$B$255,$A48,'Standardized Data'!$A$2:$A$255,"Mar-2025")=0,"",SUMIFS('Standardized Data'!$G$2:$G$255,'Standardized Data'!$B$2:$B$255,$A48,'Standardized Data'!$A$2:$A$255,"Mar-2025"))</f>
        <v>5860.0071237336497</v>
      </c>
      <c r="I48" s="3">
        <f>IF(SUMIFS('Standardized Data'!$G$2:$G$255,'Standardized Data'!$B$2:$B$255,$A48,'Standardized Data'!$A$2:$A$255,"Apr-2025")=0,"",SUMIFS('Standardized Data'!$G$2:$G$255,'Standardized Data'!$B$2:$B$255,$A48,'Standardized Data'!$A$2:$A$255,"Apr-2025"))</f>
        <v>5939.2872886936802</v>
      </c>
      <c r="J48" s="4">
        <f>IFERROR(AVERAGEIFS('Standardized Data'!$H$2:$H$255,'Standardized Data'!$B$2:$B$255,$A48),"")</f>
        <v>4.8128486803264634</v>
      </c>
      <c r="K48" s="4">
        <f>IFERROR(AVERAGEIFS('Standardized Data'!$I$2:$I$255,'Standardized Data'!$B$2:$B$255,$A48),"")</f>
        <v>90.490071281955565</v>
      </c>
      <c r="L48" s="3">
        <f t="shared" si="1"/>
        <v>5939.2872886936802</v>
      </c>
    </row>
    <row r="49" spans="1:12" x14ac:dyDescent="0.25">
      <c r="A49" s="2" t="s">
        <v>567</v>
      </c>
      <c r="B49" s="2" t="str">
        <f>IFERROR(INDEX('Standardized Data'!$D$2:$D$255,MATCH($A49,'Standardized Data'!$B$2:$B$255,0)),"")</f>
        <v>Confirmed</v>
      </c>
      <c r="C49" s="2">
        <f>COUNTIF('Standardized Data'!$B$2:$B$255,$A49)</f>
        <v>6</v>
      </c>
      <c r="D49" s="3">
        <f>IF(SUMIFS('Standardized Data'!$G$2:$G$255,'Standardized Data'!$B$2:$B$255,$A49,'Standardized Data'!$A$2:$A$255,"Nov-2024")=0,"",SUMIFS('Standardized Data'!$G$2:$G$255,'Standardized Data'!$B$2:$B$255,$A49,'Standardized Data'!$A$2:$A$255,"Nov-2024"))</f>
        <v>1472.17604013204</v>
      </c>
      <c r="E49" s="3">
        <f>IF(SUMIFS('Standardized Data'!$G$2:$G$255,'Standardized Data'!$B$2:$B$255,$A49,'Standardized Data'!$A$2:$A$255,"Dec-2024")=0,"",SUMIFS('Standardized Data'!$G$2:$G$255,'Standardized Data'!$B$2:$B$255,$A49,'Standardized Data'!$A$2:$A$255,"Dec-2024"))</f>
        <v>1453.4956678575099</v>
      </c>
      <c r="F49" s="3">
        <f>IF(SUMIFS('Standardized Data'!$G$2:$G$255,'Standardized Data'!$B$2:$B$255,$A49,'Standardized Data'!$A$2:$A$255,"Jan-2025")=0,"",SUMIFS('Standardized Data'!$G$2:$G$255,'Standardized Data'!$B$2:$B$255,$A49,'Standardized Data'!$A$2:$A$255,"Jan-2025"))</f>
        <v>1081.43913597703</v>
      </c>
      <c r="G49" s="3">
        <f>IF(SUMIFS('Standardized Data'!$G$2:$G$255,'Standardized Data'!$B$2:$B$255,$A49,'Standardized Data'!$A$2:$A$255,"Feb-2025")=0,"",SUMIFS('Standardized Data'!$G$2:$G$255,'Standardized Data'!$B$2:$B$255,$A49,'Standardized Data'!$A$2:$A$255,"Feb-2025"))</f>
        <v>1111.1395879256399</v>
      </c>
      <c r="H49" s="3">
        <f>IF(SUMIFS('Standardized Data'!$G$2:$G$255,'Standardized Data'!$B$2:$B$255,$A49,'Standardized Data'!$A$2:$A$255,"Mar-2025")=0,"",SUMIFS('Standardized Data'!$G$2:$G$255,'Standardized Data'!$B$2:$B$255,$A49,'Standardized Data'!$A$2:$A$255,"Mar-2025"))</f>
        <v>1157.34571869108</v>
      </c>
      <c r="I49" s="3">
        <f>IF(SUMIFS('Standardized Data'!$G$2:$G$255,'Standardized Data'!$B$2:$B$255,$A49,'Standardized Data'!$A$2:$A$255,"Apr-2025")=0,"",SUMIFS('Standardized Data'!$G$2:$G$255,'Standardized Data'!$B$2:$B$255,$A49,'Standardized Data'!$A$2:$A$255,"Apr-2025"))</f>
        <v>1283.5712136417701</v>
      </c>
      <c r="J49" s="4">
        <f>IFERROR(AVERAGEIFS('Standardized Data'!$H$2:$H$255,'Standardized Data'!$B$2:$B$255,$A49),"")</f>
        <v>-1.4387853883382846</v>
      </c>
      <c r="K49" s="4">
        <f>IFERROR(AVERAGEIFS('Standardized Data'!$I$2:$I$255,'Standardized Data'!$B$2:$B$255,$A49),"")</f>
        <v>42.308688149182117</v>
      </c>
      <c r="L49" s="3">
        <f t="shared" si="1"/>
        <v>1283.5712136417701</v>
      </c>
    </row>
    <row r="50" spans="1:12" x14ac:dyDescent="0.25">
      <c r="A50" s="2" t="s">
        <v>582</v>
      </c>
      <c r="B50" s="2" t="str">
        <f>IFERROR(INDEX('Standardized Data'!$D$2:$D$255,MATCH($A50,'Standardized Data'!$B$2:$B$255,0)),"")</f>
        <v>Confirmed</v>
      </c>
      <c r="C50" s="2">
        <f>COUNTIF('Standardized Data'!$B$2:$B$255,$A50)</f>
        <v>6</v>
      </c>
      <c r="D50" s="3">
        <f>IF(SUMIFS('Standardized Data'!$G$2:$G$255,'Standardized Data'!$B$2:$B$255,$A50,'Standardized Data'!$A$2:$A$255,"Nov-2024")=0,"",SUMIFS('Standardized Data'!$G$2:$G$255,'Standardized Data'!$B$2:$B$255,$A50,'Standardized Data'!$A$2:$A$255,"Nov-2024"))</f>
        <v>3147.0488937671198</v>
      </c>
      <c r="E50" s="3">
        <f>IF(SUMIFS('Standardized Data'!$G$2:$G$255,'Standardized Data'!$B$2:$B$255,$A50,'Standardized Data'!$A$2:$A$255,"Dec-2024")=0,"",SUMIFS('Standardized Data'!$G$2:$G$255,'Standardized Data'!$B$2:$B$255,$A50,'Standardized Data'!$A$2:$A$255,"Dec-2024"))</f>
        <v>3362.8340562642102</v>
      </c>
      <c r="F50" s="3">
        <f>IF(SUMIFS('Standardized Data'!$G$2:$G$255,'Standardized Data'!$B$2:$B$255,$A50,'Standardized Data'!$A$2:$A$255,"Jan-2025")=0,"",SUMIFS('Standardized Data'!$G$2:$G$255,'Standardized Data'!$B$2:$B$255,$A50,'Standardized Data'!$A$2:$A$255,"Jan-2025"))</f>
        <v>2975.9619234909901</v>
      </c>
      <c r="G50" s="3">
        <f>IF(SUMIFS('Standardized Data'!$G$2:$G$255,'Standardized Data'!$B$2:$B$255,$A50,'Standardized Data'!$A$2:$A$255,"Feb-2025")=0,"",SUMIFS('Standardized Data'!$G$2:$G$255,'Standardized Data'!$B$2:$B$255,$A50,'Standardized Data'!$A$2:$A$255,"Feb-2025"))</f>
        <v>3090.5103853288301</v>
      </c>
      <c r="H50" s="3">
        <f>IF(SUMIFS('Standardized Data'!$G$2:$G$255,'Standardized Data'!$B$2:$B$255,$A50,'Standardized Data'!$A$2:$A$255,"Mar-2025")=0,"",SUMIFS('Standardized Data'!$G$2:$G$255,'Standardized Data'!$B$2:$B$255,$A50,'Standardized Data'!$A$2:$A$255,"Mar-2025"))</f>
        <v>3337.0082982445902</v>
      </c>
      <c r="I50" s="3">
        <f>IF(SUMIFS('Standardized Data'!$G$2:$G$255,'Standardized Data'!$B$2:$B$255,$A50,'Standardized Data'!$A$2:$A$255,"Apr-2025")=0,"",SUMIFS('Standardized Data'!$G$2:$G$255,'Standardized Data'!$B$2:$B$255,$A50,'Standardized Data'!$A$2:$A$255,"Apr-2025"))</f>
        <v>3374.8094323292298</v>
      </c>
      <c r="J50" s="4">
        <f>IFERROR(AVERAGEIFS('Standardized Data'!$H$2:$H$255,'Standardized Data'!$B$2:$B$255,$A50),"")</f>
        <v>4.0076883870519611</v>
      </c>
      <c r="K50" s="4">
        <f>IFERROR(AVERAGEIFS('Standardized Data'!$I$2:$I$255,'Standardized Data'!$B$2:$B$255,$A50),"")</f>
        <v>75.419009719211999</v>
      </c>
      <c r="L50" s="3">
        <f t="shared" si="1"/>
        <v>3374.8094323292298</v>
      </c>
    </row>
    <row r="51" spans="1:12" x14ac:dyDescent="0.25">
      <c r="A51" s="2" t="s">
        <v>593</v>
      </c>
      <c r="B51" s="2" t="str">
        <f>IFERROR(INDEX('Standardized Data'!$D$2:$D$255,MATCH($A51,'Standardized Data'!$B$2:$B$255,0)),"")</f>
        <v>New (2025)</v>
      </c>
      <c r="C51" s="2">
        <f>COUNTIF('Standardized Data'!$B$2:$B$255,$A51)</f>
        <v>4</v>
      </c>
      <c r="D51" s="3" t="str">
        <f>IF(SUMIFS('Standardized Data'!$G$2:$G$255,'Standardized Data'!$B$2:$B$255,$A51,'Standardized Data'!$A$2:$A$255,"Nov-2024")=0,"",SUMIFS('Standardized Data'!$G$2:$G$255,'Standardized Data'!$B$2:$B$255,$A51,'Standardized Data'!$A$2:$A$255,"Nov-2024"))</f>
        <v/>
      </c>
      <c r="E51" s="3" t="str">
        <f>IF(SUMIFS('Standardized Data'!$G$2:$G$255,'Standardized Data'!$B$2:$B$255,$A51,'Standardized Data'!$A$2:$A$255,"Dec-2024")=0,"",SUMIFS('Standardized Data'!$G$2:$G$255,'Standardized Data'!$B$2:$B$255,$A51,'Standardized Data'!$A$2:$A$255,"Dec-2024"))</f>
        <v/>
      </c>
      <c r="F51" s="3">
        <f>IF(SUMIFS('Standardized Data'!$G$2:$G$255,'Standardized Data'!$B$2:$B$255,$A51,'Standardized Data'!$A$2:$A$255,"Jan-2025")=0,"",SUMIFS('Standardized Data'!$G$2:$G$255,'Standardized Data'!$B$2:$B$255,$A51,'Standardized Data'!$A$2:$A$255,"Jan-2025"))</f>
        <v>1850.8432699560799</v>
      </c>
      <c r="G51" s="3">
        <f>IF(SUMIFS('Standardized Data'!$G$2:$G$255,'Standardized Data'!$B$2:$B$255,$A51,'Standardized Data'!$A$2:$A$255,"Feb-2025")=0,"",SUMIFS('Standardized Data'!$G$2:$G$255,'Standardized Data'!$B$2:$B$255,$A51,'Standardized Data'!$A$2:$A$255,"Feb-2025"))</f>
        <v>1926.20411932915</v>
      </c>
      <c r="H51" s="3">
        <f>IF(SUMIFS('Standardized Data'!$G$2:$G$255,'Standardized Data'!$B$2:$B$255,$A51,'Standardized Data'!$A$2:$A$255,"Mar-2025")=0,"",SUMIFS('Standardized Data'!$G$2:$G$255,'Standardized Data'!$B$2:$B$255,$A51,'Standardized Data'!$A$2:$A$255,"Mar-2025"))</f>
        <v>2040.81873295581</v>
      </c>
      <c r="I51" s="3">
        <f>IF(SUMIFS('Standardized Data'!$G$2:$G$255,'Standardized Data'!$B$2:$B$255,$A51,'Standardized Data'!$A$2:$A$255,"Apr-2025")=0,"",SUMIFS('Standardized Data'!$G$2:$G$255,'Standardized Data'!$B$2:$B$255,$A51,'Standardized Data'!$A$2:$A$255,"Apr-2025"))</f>
        <v>2057.3488049013399</v>
      </c>
      <c r="J51" s="4">
        <f>IFERROR(AVERAGEIFS('Standardized Data'!$H$2:$H$255,'Standardized Data'!$B$2:$B$255,$A51),"")</f>
        <v>3.6106533090555355</v>
      </c>
      <c r="K51" s="4" t="str">
        <f>IFERROR(AVERAGEIFS('Standardized Data'!$I$2:$I$255,'Standardized Data'!$B$2:$B$255,$A51),"")</f>
        <v/>
      </c>
      <c r="L51" s="3">
        <f t="shared" si="1"/>
        <v>2057.3488049013399</v>
      </c>
    </row>
    <row r="52" spans="1:12" x14ac:dyDescent="0.25">
      <c r="A52" s="2" t="s">
        <v>602</v>
      </c>
      <c r="B52" s="2" t="str">
        <f>IFERROR(INDEX('Standardized Data'!$D$2:$D$255,MATCH($A52,'Standardized Data'!$B$2:$B$255,0)),"")</f>
        <v>Confirmed</v>
      </c>
      <c r="C52" s="2">
        <f>COUNTIF('Standardized Data'!$B$2:$B$255,$A52)</f>
        <v>6</v>
      </c>
      <c r="D52" s="3">
        <f>IF(SUMIFS('Standardized Data'!$G$2:$G$255,'Standardized Data'!$B$2:$B$255,$A52,'Standardized Data'!$A$2:$A$255,"Nov-2024")=0,"",SUMIFS('Standardized Data'!$G$2:$G$255,'Standardized Data'!$B$2:$B$255,$A52,'Standardized Data'!$A$2:$A$255,"Nov-2024"))</f>
        <v>3819.3696006646201</v>
      </c>
      <c r="E52" s="3">
        <f>IF(SUMIFS('Standardized Data'!$G$2:$G$255,'Standardized Data'!$B$2:$B$255,$A52,'Standardized Data'!$A$2:$A$255,"Dec-2024")=0,"",SUMIFS('Standardized Data'!$G$2:$G$255,'Standardized Data'!$B$2:$B$255,$A52,'Standardized Data'!$A$2:$A$255,"Dec-2024"))</f>
        <v>3871.4754362969402</v>
      </c>
      <c r="F52" s="3">
        <f>IF(SUMIFS('Standardized Data'!$G$2:$G$255,'Standardized Data'!$B$2:$B$255,$A52,'Standardized Data'!$A$2:$A$255,"Jan-2025")=0,"",SUMIFS('Standardized Data'!$G$2:$G$255,'Standardized Data'!$B$2:$B$255,$A52,'Standardized Data'!$A$2:$A$255,"Jan-2025"))</f>
        <v>3847.3656922479099</v>
      </c>
      <c r="G52" s="3">
        <f>IF(SUMIFS('Standardized Data'!$G$2:$G$255,'Standardized Data'!$B$2:$B$255,$A52,'Standardized Data'!$A$2:$A$255,"Feb-2025")=0,"",SUMIFS('Standardized Data'!$G$2:$G$255,'Standardized Data'!$B$2:$B$255,$A52,'Standardized Data'!$A$2:$A$255,"Feb-2025"))</f>
        <v>3890.8029976448402</v>
      </c>
      <c r="H52" s="3">
        <f>IF(SUMIFS('Standardized Data'!$G$2:$G$255,'Standardized Data'!$B$2:$B$255,$A52,'Standardized Data'!$A$2:$A$255,"Mar-2025")=0,"",SUMIFS('Standardized Data'!$G$2:$G$255,'Standardized Data'!$B$2:$B$255,$A52,'Standardized Data'!$A$2:$A$255,"Mar-2025"))</f>
        <v>4114.2425360704501</v>
      </c>
      <c r="I52" s="3">
        <f>IF(SUMIFS('Standardized Data'!$G$2:$G$255,'Standardized Data'!$B$2:$B$255,$A52,'Standardized Data'!$A$2:$A$255,"Apr-2025")=0,"",SUMIFS('Standardized Data'!$G$2:$G$255,'Standardized Data'!$B$2:$B$255,$A52,'Standardized Data'!$A$2:$A$255,"Apr-2025"))</f>
        <v>4166.5681996130497</v>
      </c>
      <c r="J52" s="4">
        <f>IFERROR(AVERAGEIFS('Standardized Data'!$H$2:$H$255,'Standardized Data'!$B$2:$B$255,$A52),"")</f>
        <v>1.798825713811423</v>
      </c>
      <c r="K52" s="4">
        <f>IFERROR(AVERAGEIFS('Standardized Data'!$I$2:$I$255,'Standardized Data'!$B$2:$B$255,$A52),"")</f>
        <v>80.941847110966577</v>
      </c>
      <c r="L52" s="3">
        <f t="shared" si="1"/>
        <v>4166.5681996130497</v>
      </c>
    </row>
    <row r="53" spans="1:12" x14ac:dyDescent="0.25">
      <c r="A53" s="2" t="s">
        <v>616</v>
      </c>
      <c r="B53" s="2" t="str">
        <f>IFERROR(INDEX('Standardized Data'!$D$2:$D$255,MATCH($A53,'Standardized Data'!$B$2:$B$255,0)),"")</f>
        <v>Confirmed</v>
      </c>
      <c r="C53" s="2">
        <f>COUNTIF('Standardized Data'!$B$2:$B$255,$A53)</f>
        <v>6</v>
      </c>
      <c r="D53" s="3">
        <f>IF(SUMIFS('Standardized Data'!$G$2:$G$255,'Standardized Data'!$B$2:$B$255,$A53,'Standardized Data'!$A$2:$A$255,"Nov-2024")=0,"",SUMIFS('Standardized Data'!$G$2:$G$255,'Standardized Data'!$B$2:$B$255,$A53,'Standardized Data'!$A$2:$A$255,"Nov-2024"))</f>
        <v>1836.0085445683401</v>
      </c>
      <c r="E53" s="3">
        <f>IF(SUMIFS('Standardized Data'!$G$2:$G$255,'Standardized Data'!$B$2:$B$255,$A53,'Standardized Data'!$A$2:$A$255,"Dec-2024")=0,"",SUMIFS('Standardized Data'!$G$2:$G$255,'Standardized Data'!$B$2:$B$255,$A53,'Standardized Data'!$A$2:$A$255,"Dec-2024"))</f>
        <v>1905.90097860793</v>
      </c>
      <c r="F53" s="3">
        <f>IF(SUMIFS('Standardized Data'!$G$2:$G$255,'Standardized Data'!$B$2:$B$255,$A53,'Standardized Data'!$A$2:$A$255,"Jan-2025")=0,"",SUMIFS('Standardized Data'!$G$2:$G$255,'Standardized Data'!$B$2:$B$255,$A53,'Standardized Data'!$A$2:$A$255,"Jan-2025"))</f>
        <v>1991.3299394697301</v>
      </c>
      <c r="G53" s="3">
        <f>IF(SUMIFS('Standardized Data'!$G$2:$G$255,'Standardized Data'!$B$2:$B$255,$A53,'Standardized Data'!$A$2:$A$255,"Feb-2025")=0,"",SUMIFS('Standardized Data'!$G$2:$G$255,'Standardized Data'!$B$2:$B$255,$A53,'Standardized Data'!$A$2:$A$255,"Feb-2025"))</f>
        <v>2022.0329125304399</v>
      </c>
      <c r="H53" s="3">
        <f>IF(SUMIFS('Standardized Data'!$G$2:$G$255,'Standardized Data'!$B$2:$B$255,$A53,'Standardized Data'!$A$2:$A$255,"Mar-2025")=0,"",SUMIFS('Standardized Data'!$G$2:$G$255,'Standardized Data'!$B$2:$B$255,$A53,'Standardized Data'!$A$2:$A$255,"Mar-2025"))</f>
        <v>2141.1300356787601</v>
      </c>
      <c r="I53" s="3">
        <f>IF(SUMIFS('Standardized Data'!$G$2:$G$255,'Standardized Data'!$B$2:$B$255,$A53,'Standardized Data'!$A$2:$A$255,"Apr-2025")=0,"",SUMIFS('Standardized Data'!$G$2:$G$255,'Standardized Data'!$B$2:$B$255,$A53,'Standardized Data'!$A$2:$A$255,"Apr-2025"))</f>
        <v>2240.0837774352499</v>
      </c>
      <c r="J53" s="4">
        <f>IFERROR(AVERAGEIFS('Standardized Data'!$H$2:$H$255,'Standardized Data'!$B$2:$B$255,$A53),"")</f>
        <v>4.6649022384473726</v>
      </c>
      <c r="K53" s="4">
        <f>IFERROR(AVERAGEIFS('Standardized Data'!$I$2:$I$255,'Standardized Data'!$B$2:$B$255,$A53),"")</f>
        <v>114.9858518921007</v>
      </c>
      <c r="L53" s="3">
        <f t="shared" si="1"/>
        <v>2240.0837774352499</v>
      </c>
    </row>
  </sheetData>
  <autoFilter ref="A1:L53" xr:uid="{00000000-0009-0000-0000-000003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8"/>
  <sheetViews>
    <sheetView zoomScaleNormal="100" workbookViewId="0">
      <pane ySplit="1" topLeftCell="A2" activePane="bottomLeft" state="frozen"/>
      <selection pane="bottomLeft"/>
    </sheetView>
  </sheetViews>
  <sheetFormatPr defaultColWidth="8.7109375" defaultRowHeight="15" x14ac:dyDescent="0.25"/>
  <cols>
    <col min="1" max="1" width="16" customWidth="1"/>
    <col min="2" max="5" width="20" customWidth="1"/>
  </cols>
  <sheetData>
    <row r="1" spans="1:5" ht="27.75" customHeight="1" x14ac:dyDescent="0.25">
      <c r="A1" s="5" t="s">
        <v>640</v>
      </c>
      <c r="B1" s="5" t="s">
        <v>641</v>
      </c>
      <c r="C1" s="5" t="s">
        <v>642</v>
      </c>
      <c r="D1" s="5" t="s">
        <v>643</v>
      </c>
      <c r="E1" s="5" t="s">
        <v>644</v>
      </c>
    </row>
    <row r="2" spans="1:5" x14ac:dyDescent="0.25">
      <c r="A2" s="2" t="s">
        <v>76</v>
      </c>
      <c r="B2" s="2">
        <f>COUNTIF('Standardized Data'!$K$2:$K$255,$A2)</f>
        <v>9</v>
      </c>
      <c r="C2" s="2">
        <f>COUNTIF('Standardized Data'!$N$2:$N$255,$A2)</f>
        <v>2</v>
      </c>
      <c r="D2" s="3">
        <f>IFERROR(AVERAGEIF('Standardized Data'!$K$2:$K$255,$A2,'Standardized Data'!$L$2:$L$255),"")</f>
        <v>5523.34</v>
      </c>
      <c r="E2" s="3">
        <f>IFERROR(AVERAGEIF('Standardized Data'!$N$2:$N$255,$A2,'Standardized Data'!$O$2:$O$255),"")</f>
        <v>3063.96</v>
      </c>
    </row>
    <row r="3" spans="1:5" x14ac:dyDescent="0.25">
      <c r="A3" s="2" t="s">
        <v>91</v>
      </c>
      <c r="B3" s="2">
        <f>COUNTIF('Standardized Data'!$K$2:$K$255,$A3)</f>
        <v>7</v>
      </c>
      <c r="C3" s="2">
        <f>COUNTIF('Standardized Data'!$N$2:$N$255,$A3)</f>
        <v>10</v>
      </c>
      <c r="D3" s="3">
        <f>IFERROR(AVERAGEIF('Standardized Data'!$K$2:$K$255,$A3,'Standardized Data'!$L$2:$L$255),"")</f>
        <v>3234.5814285714287</v>
      </c>
      <c r="E3" s="3">
        <f>IFERROR(AVERAGEIF('Standardized Data'!$N$2:$N$255,$A3,'Standardized Data'!$O$2:$O$255),"")</f>
        <v>1714.8989999999999</v>
      </c>
    </row>
    <row r="4" spans="1:5" x14ac:dyDescent="0.25">
      <c r="A4" s="2" t="s">
        <v>39</v>
      </c>
      <c r="B4" s="2">
        <f>COUNTIF('Standardized Data'!$K$2:$K$255,$A4)</f>
        <v>3</v>
      </c>
      <c r="C4" s="2">
        <f>COUNTIF('Standardized Data'!$N$2:$N$255,$A4)</f>
        <v>21</v>
      </c>
      <c r="D4" s="3">
        <f>IFERROR(AVERAGEIF('Standardized Data'!$K$2:$K$255,$A4,'Standardized Data'!$L$2:$L$255),"")</f>
        <v>2679</v>
      </c>
      <c r="E4" s="3">
        <f>IFERROR(AVERAGEIF('Standardized Data'!$N$2:$N$255,$A4,'Standardized Data'!$O$2:$O$255),"")</f>
        <v>1744.047619047619</v>
      </c>
    </row>
    <row r="5" spans="1:5" x14ac:dyDescent="0.25">
      <c r="A5" s="2" t="s">
        <v>107</v>
      </c>
      <c r="B5" s="2">
        <f>COUNTIF('Standardized Data'!$K$2:$K$255,$A5)</f>
        <v>11</v>
      </c>
      <c r="C5" s="2">
        <f>COUNTIF('Standardized Data'!$N$2:$N$255,$A5)</f>
        <v>1</v>
      </c>
      <c r="D5" s="3">
        <f>IFERROR(AVERAGEIF('Standardized Data'!$K$2:$K$255,$A5,'Standardized Data'!$L$2:$L$255),"")</f>
        <v>4831.7627272727268</v>
      </c>
      <c r="E5" s="3">
        <f>IFERROR(AVERAGEIF('Standardized Data'!$N$2:$N$255,$A5,'Standardized Data'!$O$2:$O$255),"")</f>
        <v>4576.03</v>
      </c>
    </row>
    <row r="6" spans="1:5" x14ac:dyDescent="0.25">
      <c r="A6" s="2" t="s">
        <v>105</v>
      </c>
      <c r="B6" s="2">
        <f>COUNTIF('Standardized Data'!$K$2:$K$255,$A6)</f>
        <v>6</v>
      </c>
      <c r="C6" s="2">
        <f>COUNTIF('Standardized Data'!$N$2:$N$255,$A6)</f>
        <v>1</v>
      </c>
      <c r="D6" s="3">
        <f>IFERROR(AVERAGEIF('Standardized Data'!$K$2:$K$255,$A6,'Standardized Data'!$L$2:$L$255),"")</f>
        <v>2959.5750000000003</v>
      </c>
      <c r="E6" s="3">
        <f>IFERROR(AVERAGEIF('Standardized Data'!$N$2:$N$255,$A6,'Standardized Data'!$O$2:$O$255),"")</f>
        <v>3650.97</v>
      </c>
    </row>
    <row r="7" spans="1:5" x14ac:dyDescent="0.25">
      <c r="A7" s="2" t="s">
        <v>32</v>
      </c>
      <c r="B7" s="2">
        <f>COUNTIF('Standardized Data'!$K$2:$K$255,$A7)</f>
        <v>3</v>
      </c>
      <c r="C7" s="2">
        <f>COUNTIF('Standardized Data'!$N$2:$N$255,$A7)</f>
        <v>5</v>
      </c>
      <c r="D7" s="3">
        <f>IFERROR(AVERAGEIF('Standardized Data'!$K$2:$K$255,$A7,'Standardized Data'!$L$2:$L$255),"")</f>
        <v>2492.0166666666669</v>
      </c>
      <c r="E7" s="3">
        <f>IFERROR(AVERAGEIF('Standardized Data'!$N$2:$N$255,$A7,'Standardized Data'!$O$2:$O$255),"")</f>
        <v>2340.0839999999998</v>
      </c>
    </row>
    <row r="8" spans="1:5" x14ac:dyDescent="0.25">
      <c r="A8" s="2" t="s">
        <v>156</v>
      </c>
      <c r="B8" s="2">
        <f>COUNTIF('Standardized Data'!$K$2:$K$255,$A8)</f>
        <v>8</v>
      </c>
      <c r="C8" s="2">
        <f>COUNTIF('Standardized Data'!$N$2:$N$255,$A8)</f>
        <v>6</v>
      </c>
      <c r="D8" s="3">
        <f>IFERROR(AVERAGEIF('Standardized Data'!$K$2:$K$255,$A8,'Standardized Data'!$L$2:$L$255),"")</f>
        <v>3253.4824999999996</v>
      </c>
      <c r="E8" s="3">
        <f>IFERROR(AVERAGEIF('Standardized Data'!$N$2:$N$255,$A8,'Standardized Data'!$O$2:$O$255),"")</f>
        <v>3084.9866666666662</v>
      </c>
    </row>
    <row r="9" spans="1:5" x14ac:dyDescent="0.25">
      <c r="A9" s="2" t="s">
        <v>118</v>
      </c>
      <c r="B9" s="2">
        <f>COUNTIF('Standardized Data'!$K$2:$K$255,$A9)</f>
        <v>4</v>
      </c>
      <c r="C9" s="2">
        <f>COUNTIF('Standardized Data'!$N$2:$N$255,$A9)</f>
        <v>16</v>
      </c>
      <c r="D9" s="3">
        <f>IFERROR(AVERAGEIF('Standardized Data'!$K$2:$K$255,$A9,'Standardized Data'!$L$2:$L$255),"")</f>
        <v>8281.5174999999999</v>
      </c>
      <c r="E9" s="3">
        <f>IFERROR(AVERAGEIF('Standardized Data'!$N$2:$N$255,$A9,'Standardized Data'!$O$2:$O$255),"")</f>
        <v>1839.5137499999998</v>
      </c>
    </row>
    <row r="10" spans="1:5" x14ac:dyDescent="0.25">
      <c r="A10" s="2" t="s">
        <v>29</v>
      </c>
      <c r="B10" s="2">
        <f>COUNTIF('Standardized Data'!$K$2:$K$255,$A10)</f>
        <v>2</v>
      </c>
      <c r="C10" s="2">
        <f>COUNTIF('Standardized Data'!$N$2:$N$255,$A10)</f>
        <v>15</v>
      </c>
      <c r="D10" s="3">
        <f>IFERROR(AVERAGEIF('Standardized Data'!$K$2:$K$255,$A10,'Standardized Data'!$L$2:$L$255),"")</f>
        <v>3342.125</v>
      </c>
      <c r="E10" s="3">
        <f>IFERROR(AVERAGEIF('Standardized Data'!$N$2:$N$255,$A10,'Standardized Data'!$O$2:$O$255),"")</f>
        <v>1396.3300000000002</v>
      </c>
    </row>
    <row r="11" spans="1:5" x14ac:dyDescent="0.25">
      <c r="A11" s="2" t="s">
        <v>401</v>
      </c>
      <c r="B11" s="2">
        <f>COUNTIF('Standardized Data'!$K$2:$K$255,$A11)</f>
        <v>5</v>
      </c>
      <c r="C11" s="2">
        <f>COUNTIF('Standardized Data'!$N$2:$N$255,$A11)</f>
        <v>0</v>
      </c>
      <c r="D11" s="3">
        <f>IFERROR(AVERAGEIF('Standardized Data'!$K$2:$K$255,$A11,'Standardized Data'!$L$2:$L$255),"")</f>
        <v>2428.3039999999996</v>
      </c>
      <c r="E11" s="3" t="str">
        <f>IFERROR(AVERAGEIF('Standardized Data'!$N$2:$N$255,$A11,'Standardized Data'!$O$2:$O$255),"")</f>
        <v/>
      </c>
    </row>
    <row r="12" spans="1:5" x14ac:dyDescent="0.25">
      <c r="A12" s="2" t="s">
        <v>141</v>
      </c>
      <c r="B12" s="2">
        <f>COUNTIF('Standardized Data'!$K$2:$K$255,$A12)</f>
        <v>4</v>
      </c>
      <c r="C12" s="2">
        <f>COUNTIF('Standardized Data'!$N$2:$N$255,$A12)</f>
        <v>0</v>
      </c>
      <c r="D12" s="3">
        <f>IFERROR(AVERAGEIF('Standardized Data'!$K$2:$K$255,$A12,'Standardized Data'!$L$2:$L$255),"")</f>
        <v>1572.7125000000001</v>
      </c>
      <c r="E12" s="3" t="str">
        <f>IFERROR(AVERAGEIF('Standardized Data'!$N$2:$N$255,$A12,'Standardized Data'!$O$2:$O$255),"")</f>
        <v/>
      </c>
    </row>
    <row r="13" spans="1:5" x14ac:dyDescent="0.25">
      <c r="A13" s="2" t="s">
        <v>80</v>
      </c>
      <c r="B13" s="2">
        <f>COUNTIF('Standardized Data'!$K$2:$K$255,$A13)</f>
        <v>19</v>
      </c>
      <c r="C13" s="2">
        <f>COUNTIF('Standardized Data'!$N$2:$N$255,$A13)</f>
        <v>1</v>
      </c>
      <c r="D13" s="3">
        <f>IFERROR(AVERAGEIF('Standardized Data'!$K$2:$K$255,$A13,'Standardized Data'!$L$2:$L$255),"")</f>
        <v>4685.0547368421048</v>
      </c>
      <c r="E13" s="3">
        <f>IFERROR(AVERAGEIF('Standardized Data'!$N$2:$N$255,$A13,'Standardized Data'!$O$2:$O$255),"")</f>
        <v>2394.41</v>
      </c>
    </row>
    <row r="14" spans="1:5" x14ac:dyDescent="0.25">
      <c r="A14" s="2" t="s">
        <v>424</v>
      </c>
      <c r="B14" s="2">
        <f>COUNTIF('Standardized Data'!$K$2:$K$255,$A14)</f>
        <v>1</v>
      </c>
      <c r="C14" s="2">
        <f>COUNTIF('Standardized Data'!$N$2:$N$255,$A14)</f>
        <v>0</v>
      </c>
      <c r="D14" s="3">
        <f>IFERROR(AVERAGEIF('Standardized Data'!$K$2:$K$255,$A14,'Standardized Data'!$L$2:$L$255),"")</f>
        <v>2257.75</v>
      </c>
      <c r="E14" s="3" t="str">
        <f>IFERROR(AVERAGEIF('Standardized Data'!$N$2:$N$255,$A14,'Standardized Data'!$O$2:$O$255),"")</f>
        <v/>
      </c>
    </row>
    <row r="15" spans="1:5" x14ac:dyDescent="0.25">
      <c r="A15" s="2" t="s">
        <v>152</v>
      </c>
      <c r="B15" s="2">
        <f>COUNTIF('Standardized Data'!$K$2:$K$255,$A15)</f>
        <v>10</v>
      </c>
      <c r="C15" s="2">
        <f>COUNTIF('Standardized Data'!$N$2:$N$255,$A15)</f>
        <v>2</v>
      </c>
      <c r="D15" s="3">
        <f>IFERROR(AVERAGEIF('Standardized Data'!$K$2:$K$255,$A15,'Standardized Data'!$L$2:$L$255),"")</f>
        <v>4265.4009999999998</v>
      </c>
      <c r="E15" s="3">
        <f>IFERROR(AVERAGEIF('Standardized Data'!$N$2:$N$255,$A15,'Standardized Data'!$O$2:$O$255),"")</f>
        <v>980.77</v>
      </c>
    </row>
    <row r="16" spans="1:5" x14ac:dyDescent="0.25">
      <c r="A16" s="2" t="s">
        <v>37</v>
      </c>
      <c r="B16" s="2">
        <f>COUNTIF('Standardized Data'!$K$2:$K$255,$A16)</f>
        <v>25</v>
      </c>
      <c r="C16" s="2">
        <f>COUNTIF('Standardized Data'!$N$2:$N$255,$A16)</f>
        <v>0</v>
      </c>
      <c r="D16" s="3">
        <f>IFERROR(AVERAGEIF('Standardized Data'!$K$2:$K$255,$A16,'Standardized Data'!$L$2:$L$255),"")</f>
        <v>4466.3788000000004</v>
      </c>
      <c r="E16" s="3" t="str">
        <f>IFERROR(AVERAGEIF('Standardized Data'!$N$2:$N$255,$A16,'Standardized Data'!$O$2:$O$255),"")</f>
        <v/>
      </c>
    </row>
    <row r="17" spans="1:5" x14ac:dyDescent="0.25">
      <c r="A17" s="2" t="s">
        <v>27</v>
      </c>
      <c r="B17" s="2">
        <f>COUNTIF('Standardized Data'!$K$2:$K$255,$A17)</f>
        <v>15</v>
      </c>
      <c r="C17" s="2">
        <f>COUNTIF('Standardized Data'!$N$2:$N$255,$A17)</f>
        <v>4</v>
      </c>
      <c r="D17" s="3">
        <f>IFERROR(AVERAGEIF('Standardized Data'!$K$2:$K$255,$A17,'Standardized Data'!$L$2:$L$255),"")</f>
        <v>2773.4886666666666</v>
      </c>
      <c r="E17" s="3">
        <f>IFERROR(AVERAGEIF('Standardized Data'!$N$2:$N$255,$A17,'Standardized Data'!$O$2:$O$255),"")</f>
        <v>2478.75</v>
      </c>
    </row>
    <row r="18" spans="1:5" x14ac:dyDescent="0.25">
      <c r="A18" s="2" t="s">
        <v>116</v>
      </c>
      <c r="B18" s="2">
        <f>COUNTIF('Standardized Data'!$K$2:$K$255,$A18)</f>
        <v>22</v>
      </c>
      <c r="C18" s="2">
        <f>COUNTIF('Standardized Data'!$N$2:$N$255,$A18)</f>
        <v>0</v>
      </c>
      <c r="D18" s="3">
        <f>IFERROR(AVERAGEIF('Standardized Data'!$K$2:$K$255,$A18,'Standardized Data'!$L$2:$L$255),"")</f>
        <v>5219.3663636363635</v>
      </c>
      <c r="E18" s="3" t="str">
        <f>IFERROR(AVERAGEIF('Standardized Data'!$N$2:$N$255,$A18,'Standardized Data'!$O$2:$O$255),"")</f>
        <v/>
      </c>
    </row>
    <row r="19" spans="1:5" x14ac:dyDescent="0.25">
      <c r="A19" s="2" t="s">
        <v>67</v>
      </c>
      <c r="B19" s="2">
        <f>COUNTIF('Standardized Data'!$K$2:$K$255,$A19)</f>
        <v>0</v>
      </c>
      <c r="C19" s="2">
        <f>COUNTIF('Standardized Data'!$N$2:$N$255,$A19)</f>
        <v>5</v>
      </c>
      <c r="D19" s="3" t="str">
        <f>IFERROR(AVERAGEIF('Standardized Data'!$K$2:$K$255,$A19,'Standardized Data'!$L$2:$L$255),"")</f>
        <v/>
      </c>
      <c r="E19" s="3">
        <f>IFERROR(AVERAGEIF('Standardized Data'!$N$2:$N$255,$A19,'Standardized Data'!$O$2:$O$255),"")</f>
        <v>1220.7260000000001</v>
      </c>
    </row>
    <row r="20" spans="1:5" x14ac:dyDescent="0.25">
      <c r="A20" s="2" t="s">
        <v>45</v>
      </c>
      <c r="B20" s="2">
        <f>COUNTIF('Standardized Data'!$K$2:$K$255,$A20)</f>
        <v>0</v>
      </c>
      <c r="C20" s="2">
        <f>COUNTIF('Standardized Data'!$N$2:$N$255,$A20)</f>
        <v>6</v>
      </c>
      <c r="D20" s="3" t="str">
        <f>IFERROR(AVERAGEIF('Standardized Data'!$K$2:$K$255,$A20,'Standardized Data'!$L$2:$L$255),"")</f>
        <v/>
      </c>
      <c r="E20" s="3">
        <f>IFERROR(AVERAGEIF('Standardized Data'!$N$2:$N$255,$A20,'Standardized Data'!$O$2:$O$255),"")</f>
        <v>1620.8733333333332</v>
      </c>
    </row>
    <row r="21" spans="1:5" x14ac:dyDescent="0.25">
      <c r="A21" s="2" t="s">
        <v>182</v>
      </c>
      <c r="B21" s="2">
        <f>COUNTIF('Standardized Data'!$K$2:$K$255,$A21)</f>
        <v>0</v>
      </c>
      <c r="C21" s="2">
        <f>COUNTIF('Standardized Data'!$N$2:$N$255,$A21)</f>
        <v>6</v>
      </c>
      <c r="D21" s="3" t="str">
        <f>IFERROR(AVERAGEIF('Standardized Data'!$K$2:$K$255,$A21,'Standardized Data'!$L$2:$L$255),"")</f>
        <v/>
      </c>
      <c r="E21" s="3">
        <f>IFERROR(AVERAGEIF('Standardized Data'!$N$2:$N$255,$A21,'Standardized Data'!$O$2:$O$255),"")</f>
        <v>1995.6066666666668</v>
      </c>
    </row>
    <row r="22" spans="1:5" x14ac:dyDescent="0.25">
      <c r="A22" s="2" t="s">
        <v>185</v>
      </c>
      <c r="B22" s="2">
        <f>COUNTIF('Standardized Data'!$K$2:$K$255,$A22)</f>
        <v>1</v>
      </c>
      <c r="C22" s="2">
        <f>COUNTIF('Standardized Data'!$N$2:$N$255,$A22)</f>
        <v>5</v>
      </c>
      <c r="D22" s="3">
        <f>IFERROR(AVERAGEIF('Standardized Data'!$K$2:$K$255,$A22,'Standardized Data'!$L$2:$L$255),"")</f>
        <v>1903.28</v>
      </c>
      <c r="E22" s="3">
        <f>IFERROR(AVERAGEIF('Standardized Data'!$N$2:$N$255,$A22,'Standardized Data'!$O$2:$O$255),"")</f>
        <v>2745.8240000000001</v>
      </c>
    </row>
    <row r="23" spans="1:5" x14ac:dyDescent="0.25">
      <c r="A23" s="2" t="s">
        <v>189</v>
      </c>
      <c r="B23" s="2">
        <f>COUNTIF('Standardized Data'!$K$2:$K$255,$A23)</f>
        <v>2</v>
      </c>
      <c r="C23" s="2">
        <f>COUNTIF('Standardized Data'!$N$2:$N$255,$A23)</f>
        <v>11</v>
      </c>
      <c r="D23" s="3">
        <f>IFERROR(AVERAGEIF('Standardized Data'!$K$2:$K$255,$A23,'Standardized Data'!$L$2:$L$255),"")</f>
        <v>1719.085</v>
      </c>
      <c r="E23" s="3">
        <f>IFERROR(AVERAGEIF('Standardized Data'!$N$2:$N$255,$A23,'Standardized Data'!$O$2:$O$255),"")</f>
        <v>2773.0018181818177</v>
      </c>
    </row>
    <row r="24" spans="1:5" x14ac:dyDescent="0.25">
      <c r="A24" s="2" t="s">
        <v>62</v>
      </c>
      <c r="B24" s="2">
        <f>COUNTIF('Standardized Data'!$K$2:$K$255,$A24)</f>
        <v>10</v>
      </c>
      <c r="C24" s="2">
        <f>COUNTIF('Standardized Data'!$N$2:$N$255,$A24)</f>
        <v>13</v>
      </c>
      <c r="D24" s="3">
        <f>IFERROR(AVERAGEIF('Standardized Data'!$K$2:$K$255,$A24,'Standardized Data'!$L$2:$L$255),"")</f>
        <v>4425.0190000000002</v>
      </c>
      <c r="E24" s="3">
        <f>IFERROR(AVERAGEIF('Standardized Data'!$N$2:$N$255,$A24,'Standardized Data'!$O$2:$O$255),"")</f>
        <v>2085.1415384615384</v>
      </c>
    </row>
    <row r="25" spans="1:5" x14ac:dyDescent="0.25">
      <c r="A25" s="2" t="s">
        <v>318</v>
      </c>
      <c r="B25" s="2">
        <f>COUNTIF('Standardized Data'!$K$2:$K$255,$A25)</f>
        <v>11</v>
      </c>
      <c r="C25" s="2">
        <f>COUNTIF('Standardized Data'!$N$2:$N$255,$A25)</f>
        <v>1</v>
      </c>
      <c r="D25" s="3">
        <f>IFERROR(AVERAGEIF('Standardized Data'!$K$2:$K$255,$A25,'Standardized Data'!$L$2:$L$255),"")</f>
        <v>7170.8363636363647</v>
      </c>
      <c r="E25" s="3">
        <f>IFERROR(AVERAGEIF('Standardized Data'!$N$2:$N$255,$A25,'Standardized Data'!$O$2:$O$255),"")</f>
        <v>2000</v>
      </c>
    </row>
    <row r="26" spans="1:5" x14ac:dyDescent="0.25">
      <c r="A26" s="2" t="s">
        <v>430</v>
      </c>
      <c r="B26" s="2">
        <f>COUNTIF('Standardized Data'!$K$2:$K$255,$A26)</f>
        <v>0</v>
      </c>
      <c r="C26" s="2">
        <f>COUNTIF('Standardized Data'!$N$2:$N$255,$A26)</f>
        <v>4</v>
      </c>
      <c r="D26" s="3" t="str">
        <f>IFERROR(AVERAGEIF('Standardized Data'!$K$2:$K$255,$A26,'Standardized Data'!$L$2:$L$255),"")</f>
        <v/>
      </c>
      <c r="E26" s="3">
        <f>IFERROR(AVERAGEIF('Standardized Data'!$N$2:$N$255,$A26,'Standardized Data'!$O$2:$O$255),"")</f>
        <v>1771.0149999999999</v>
      </c>
    </row>
    <row r="27" spans="1:5" x14ac:dyDescent="0.25">
      <c r="A27" s="2" t="s">
        <v>171</v>
      </c>
      <c r="B27" s="2">
        <f>COUNTIF('Standardized Data'!$K$2:$K$255,$A27)</f>
        <v>4</v>
      </c>
      <c r="C27" s="2">
        <f>COUNTIF('Standardized Data'!$N$2:$N$255,$A27)</f>
        <v>3</v>
      </c>
      <c r="D27" s="3">
        <f>IFERROR(AVERAGEIF('Standardized Data'!$K$2:$K$255,$A27,'Standardized Data'!$L$2:$L$255),"")</f>
        <v>5366.7975000000006</v>
      </c>
      <c r="E27" s="3">
        <f>IFERROR(AVERAGEIF('Standardized Data'!$N$2:$N$255,$A27,'Standardized Data'!$O$2:$O$255),"")</f>
        <v>1390.0333333333335</v>
      </c>
    </row>
    <row r="28" spans="1:5" x14ac:dyDescent="0.25">
      <c r="A28" s="2" t="s">
        <v>59</v>
      </c>
      <c r="B28" s="2">
        <f>COUNTIF('Standardized Data'!$K$2:$K$255,$A28)</f>
        <v>7</v>
      </c>
      <c r="C28" s="2">
        <f>COUNTIF('Standardized Data'!$N$2:$N$255,$A28)</f>
        <v>13</v>
      </c>
      <c r="D28" s="3">
        <f>IFERROR(AVERAGEIF('Standardized Data'!$K$2:$K$255,$A28,'Standardized Data'!$L$2:$L$255),"")</f>
        <v>5699.9814285714283</v>
      </c>
      <c r="E28" s="3">
        <f>IFERROR(AVERAGEIF('Standardized Data'!$N$2:$N$255,$A28,'Standardized Data'!$O$2:$O$255),"")</f>
        <v>2456.5146153846154</v>
      </c>
    </row>
    <row r="29" spans="1:5" x14ac:dyDescent="0.25">
      <c r="A29" s="2" t="s">
        <v>133</v>
      </c>
      <c r="B29" s="2">
        <f>COUNTIF('Standardized Data'!$K$2:$K$255,$A29)</f>
        <v>14</v>
      </c>
      <c r="C29" s="2">
        <f>COUNTIF('Standardized Data'!$N$2:$N$255,$A29)</f>
        <v>1</v>
      </c>
      <c r="D29" s="3">
        <f>IFERROR(AVERAGEIF('Standardized Data'!$K$2:$K$255,$A29,'Standardized Data'!$L$2:$L$255),"")</f>
        <v>3627.9092857142855</v>
      </c>
      <c r="E29" s="3">
        <f>IFERROR(AVERAGEIF('Standardized Data'!$N$2:$N$255,$A29,'Standardized Data'!$O$2:$O$255),"")</f>
        <v>923.61</v>
      </c>
    </row>
    <row r="30" spans="1:5" x14ac:dyDescent="0.25">
      <c r="A30" s="2" t="s">
        <v>194</v>
      </c>
      <c r="B30" s="2">
        <f>COUNTIF('Standardized Data'!$K$2:$K$255,$A30)</f>
        <v>8</v>
      </c>
      <c r="C30" s="2">
        <f>COUNTIF('Standardized Data'!$N$2:$N$255,$A30)</f>
        <v>8</v>
      </c>
      <c r="D30" s="3">
        <f>IFERROR(AVERAGEIF('Standardized Data'!$K$2:$K$255,$A30,'Standardized Data'!$L$2:$L$255),"")</f>
        <v>4478.75</v>
      </c>
      <c r="E30" s="3">
        <f>IFERROR(AVERAGEIF('Standardized Data'!$N$2:$N$255,$A30,'Standardized Data'!$O$2:$O$255),"")</f>
        <v>2420.1612500000001</v>
      </c>
    </row>
    <row r="31" spans="1:5" x14ac:dyDescent="0.25">
      <c r="A31" s="2" t="s">
        <v>135</v>
      </c>
      <c r="B31" s="2">
        <f>COUNTIF('Standardized Data'!$K$2:$K$255,$A31)</f>
        <v>3</v>
      </c>
      <c r="C31" s="2">
        <f>COUNTIF('Standardized Data'!$N$2:$N$255,$A31)</f>
        <v>10</v>
      </c>
      <c r="D31" s="3">
        <f>IFERROR(AVERAGEIF('Standardized Data'!$K$2:$K$255,$A31,'Standardized Data'!$L$2:$L$255),"")</f>
        <v>3677.7766666666666</v>
      </c>
      <c r="E31" s="3">
        <f>IFERROR(AVERAGEIF('Standardized Data'!$N$2:$N$255,$A31,'Standardized Data'!$O$2:$O$255),"")</f>
        <v>1894.6029999999998</v>
      </c>
    </row>
    <row r="32" spans="1:5" x14ac:dyDescent="0.25">
      <c r="A32" s="2" t="s">
        <v>263</v>
      </c>
      <c r="B32" s="2">
        <f>COUNTIF('Standardized Data'!$K$2:$K$255,$A32)</f>
        <v>3</v>
      </c>
      <c r="C32" s="2">
        <f>COUNTIF('Standardized Data'!$N$2:$N$255,$A32)</f>
        <v>18</v>
      </c>
      <c r="D32" s="3">
        <f>IFERROR(AVERAGEIF('Standardized Data'!$K$2:$K$255,$A32,'Standardized Data'!$L$2:$L$255),"")</f>
        <v>4518.6899999999996</v>
      </c>
      <c r="E32" s="3">
        <f>IFERROR(AVERAGEIF('Standardized Data'!$N$2:$N$255,$A32,'Standardized Data'!$O$2:$O$255),"")</f>
        <v>2093.8361111111108</v>
      </c>
    </row>
    <row r="33" spans="1:5" x14ac:dyDescent="0.25">
      <c r="A33" s="2" t="s">
        <v>173</v>
      </c>
      <c r="B33" s="2">
        <f>COUNTIF('Standardized Data'!$K$2:$K$255,$A33)</f>
        <v>19</v>
      </c>
      <c r="C33" s="2">
        <f>COUNTIF('Standardized Data'!$N$2:$N$255,$A33)</f>
        <v>3</v>
      </c>
      <c r="D33" s="3">
        <f>IFERROR(AVERAGEIF('Standardized Data'!$K$2:$K$255,$A33,'Standardized Data'!$L$2:$L$255),"")</f>
        <v>5255.5710526315806</v>
      </c>
      <c r="E33" s="3">
        <f>IFERROR(AVERAGEIF('Standardized Data'!$N$2:$N$255,$A33,'Standardized Data'!$O$2:$O$255),"")</f>
        <v>2851.1766666666667</v>
      </c>
    </row>
    <row r="34" spans="1:5" x14ac:dyDescent="0.25">
      <c r="A34" s="2" t="s">
        <v>128</v>
      </c>
      <c r="B34" s="2">
        <f>COUNTIF('Standardized Data'!$K$2:$K$255,$A34)</f>
        <v>6</v>
      </c>
      <c r="C34" s="2">
        <f>COUNTIF('Standardized Data'!$N$2:$N$255,$A34)</f>
        <v>0</v>
      </c>
      <c r="D34" s="3">
        <f>IFERROR(AVERAGEIF('Standardized Data'!$K$2:$K$255,$A34,'Standardized Data'!$L$2:$L$255),"")</f>
        <v>2706.1116666666667</v>
      </c>
      <c r="E34" s="3" t="str">
        <f>IFERROR(AVERAGEIF('Standardized Data'!$N$2:$N$255,$A34,'Standardized Data'!$O$2:$O$255),"")</f>
        <v/>
      </c>
    </row>
    <row r="35" spans="1:5" x14ac:dyDescent="0.25">
      <c r="A35" s="2" t="s">
        <v>78</v>
      </c>
      <c r="B35" s="2">
        <f>COUNTIF('Standardized Data'!$K$2:$K$255,$A35)</f>
        <v>0</v>
      </c>
      <c r="C35" s="2">
        <f>COUNTIF('Standardized Data'!$N$2:$N$255,$A35)</f>
        <v>8</v>
      </c>
      <c r="D35" s="3" t="str">
        <f>IFERROR(AVERAGEIF('Standardized Data'!$K$2:$K$255,$A35,'Standardized Data'!$L$2:$L$255),"")</f>
        <v/>
      </c>
      <c r="E35" s="3">
        <f>IFERROR(AVERAGEIF('Standardized Data'!$N$2:$N$255,$A35,'Standardized Data'!$O$2:$O$255),"")</f>
        <v>2563.895</v>
      </c>
    </row>
    <row r="36" spans="1:5" x14ac:dyDescent="0.25">
      <c r="A36" s="2" t="s">
        <v>34</v>
      </c>
      <c r="B36" s="2">
        <f>COUNTIF('Standardized Data'!$K$2:$K$255,$A36)</f>
        <v>7</v>
      </c>
      <c r="C36" s="2">
        <f>COUNTIF('Standardized Data'!$N$2:$N$255,$A36)</f>
        <v>17</v>
      </c>
      <c r="D36" s="3">
        <f>IFERROR(AVERAGEIF('Standardized Data'!$K$2:$K$255,$A36,'Standardized Data'!$L$2:$L$255),"")</f>
        <v>1944.5457142857142</v>
      </c>
      <c r="E36" s="3">
        <f>IFERROR(AVERAGEIF('Standardized Data'!$N$2:$N$255,$A36,'Standardized Data'!$O$2:$O$255),"")</f>
        <v>1790.0682352941176</v>
      </c>
    </row>
    <row r="37" spans="1:5" x14ac:dyDescent="0.25">
      <c r="A37" s="2" t="s">
        <v>74</v>
      </c>
      <c r="B37" s="2">
        <f>COUNTIF('Standardized Data'!$K$2:$K$255,$A37)</f>
        <v>4</v>
      </c>
      <c r="C37" s="2">
        <f>COUNTIF('Standardized Data'!$N$2:$N$255,$A37)</f>
        <v>29</v>
      </c>
      <c r="D37" s="3">
        <f>IFERROR(AVERAGEIF('Standardized Data'!$K$2:$K$255,$A37,'Standardized Data'!$L$2:$L$255),"")</f>
        <v>6864.52</v>
      </c>
      <c r="E37" s="3">
        <f>IFERROR(AVERAGEIF('Standardized Data'!$N$2:$N$255,$A37,'Standardized Data'!$O$2:$O$255),"")</f>
        <v>2117.8358620689651</v>
      </c>
    </row>
    <row r="38" spans="1:5" x14ac:dyDescent="0.25">
      <c r="A38" s="2" t="s">
        <v>160</v>
      </c>
      <c r="B38" s="2">
        <f>COUNTIF('Standardized Data'!$K$2:$K$255,$A38)</f>
        <v>1</v>
      </c>
      <c r="C38" s="2">
        <f>COUNTIF('Standardized Data'!$N$2:$N$255,$A38)</f>
        <v>9</v>
      </c>
      <c r="D38" s="3">
        <f>IFERROR(AVERAGEIF('Standardized Data'!$K$2:$K$255,$A38,'Standardized Data'!$L$2:$L$255),"")</f>
        <v>3235.2</v>
      </c>
      <c r="E38" s="3">
        <f>IFERROR(AVERAGEIF('Standardized Data'!$N$2:$N$255,$A38,'Standardized Data'!$O$2:$O$255),"")</f>
        <v>2252.9877777777779</v>
      </c>
    </row>
  </sheetData>
  <autoFilter ref="A1:E38" xr:uid="{00000000-0009-0000-0000-000004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2"/>
  <sheetViews>
    <sheetView zoomScaleNormal="100" workbookViewId="0">
      <selection activeCell="A2" sqref="A2"/>
    </sheetView>
  </sheetViews>
  <sheetFormatPr defaultColWidth="8.7109375" defaultRowHeight="15" x14ac:dyDescent="0.25"/>
  <cols>
    <col min="1" max="1" width="38" customWidth="1"/>
    <col min="2" max="2" width="12" customWidth="1"/>
    <col min="4" max="4" width="38" customWidth="1"/>
    <col min="5" max="5" width="12" customWidth="1"/>
    <col min="7" max="7" width="16" customWidth="1"/>
    <col min="8" max="8" width="14" customWidth="1"/>
    <col min="10" max="10" width="16" customWidth="1"/>
    <col min="11" max="11" width="14" customWidth="1"/>
  </cols>
  <sheetData>
    <row r="1" spans="1:11" x14ac:dyDescent="0.25">
      <c r="A1" s="1" t="s">
        <v>645</v>
      </c>
      <c r="D1" s="1" t="s">
        <v>646</v>
      </c>
      <c r="G1" s="1" t="s">
        <v>647</v>
      </c>
      <c r="J1" s="1" t="s">
        <v>648</v>
      </c>
    </row>
    <row r="2" spans="1:11" ht="19.5" customHeight="1" x14ac:dyDescent="0.25">
      <c r="A2" s="5" t="s">
        <v>649</v>
      </c>
      <c r="B2" s="5" t="s">
        <v>638</v>
      </c>
      <c r="D2" s="10" t="s">
        <v>649</v>
      </c>
      <c r="E2" s="10" t="s">
        <v>637</v>
      </c>
      <c r="G2" s="10" t="s">
        <v>640</v>
      </c>
      <c r="H2" s="10" t="s">
        <v>641</v>
      </c>
      <c r="J2" s="10" t="s">
        <v>640</v>
      </c>
      <c r="K2" s="10" t="s">
        <v>642</v>
      </c>
    </row>
    <row r="3" spans="1:11" x14ac:dyDescent="0.25">
      <c r="A3" s="2" t="s">
        <v>340</v>
      </c>
      <c r="B3" s="4">
        <f>IFERROR(INDEX('Item Summary'!$K$2:$K$53,MATCH($A3,'Item Summary'!$A$2:$A$53,0)),"")</f>
        <v>157.51877895100398</v>
      </c>
      <c r="D3" s="2" t="s">
        <v>436</v>
      </c>
      <c r="E3" s="4">
        <f>IFERROR(INDEX('Item Summary'!$J$2:$J$53,MATCH($D3,'Item Summary'!$A$2:$A$53,0)),"")</f>
        <v>7.1114421627029252</v>
      </c>
      <c r="G3" s="2" t="s">
        <v>37</v>
      </c>
      <c r="H3" s="2">
        <f>IFERROR(INDEX('State Summary'!$B$2:$B$38,MATCH($G3,'State Summary'!$A$2:$A$38,0)),"")</f>
        <v>25</v>
      </c>
      <c r="J3" s="2" t="s">
        <v>74</v>
      </c>
      <c r="K3" s="2">
        <f>IFERROR(INDEX('State Summary'!$C$2:$C$38,MATCH($J3,'State Summary'!$A$2:$A$38,0)),"")</f>
        <v>29</v>
      </c>
    </row>
    <row r="4" spans="1:11" x14ac:dyDescent="0.25">
      <c r="A4" s="2" t="s">
        <v>68</v>
      </c>
      <c r="B4" s="4">
        <f>IFERROR(INDEX('Item Summary'!$K$2:$K$53,MATCH($A4,'Item Summary'!$A$2:$A$53,0)),"")</f>
        <v>143.28972676771997</v>
      </c>
      <c r="D4" s="2" t="s">
        <v>393</v>
      </c>
      <c r="E4" s="4">
        <f>IFERROR(INDEX('Item Summary'!$J$2:$J$53,MATCH($D4,'Item Summary'!$A$2:$A$53,0)),"")</f>
        <v>5.9636050409990062</v>
      </c>
      <c r="G4" s="2" t="s">
        <v>116</v>
      </c>
      <c r="H4" s="2">
        <f>IFERROR(INDEX('State Summary'!$B$2:$B$38,MATCH($G4,'State Summary'!$A$2:$A$38,0)),"")</f>
        <v>22</v>
      </c>
      <c r="J4" s="2" t="s">
        <v>39</v>
      </c>
      <c r="K4" s="2">
        <f>IFERROR(INDEX('State Summary'!$C$2:$C$38,MATCH($J4,'State Summary'!$A$2:$A$38,0)),"")</f>
        <v>21</v>
      </c>
    </row>
    <row r="5" spans="1:11" x14ac:dyDescent="0.25">
      <c r="A5" s="2" t="s">
        <v>436</v>
      </c>
      <c r="B5" s="4">
        <f>IFERROR(INDEX('Item Summary'!$K$2:$K$53,MATCH($A5,'Item Summary'!$A$2:$A$53,0)),"")</f>
        <v>133.72148269444617</v>
      </c>
      <c r="D5" s="2" t="s">
        <v>515</v>
      </c>
      <c r="E5" s="4">
        <f>IFERROR(INDEX('Item Summary'!$J$2:$J$53,MATCH($D5,'Item Summary'!$A$2:$A$53,0)),"")</f>
        <v>5.948583276673741</v>
      </c>
      <c r="G5" s="2" t="s">
        <v>80</v>
      </c>
      <c r="H5" s="2">
        <f>IFERROR(INDEX('State Summary'!$B$2:$B$38,MATCH($G5,'State Summary'!$A$2:$A$38,0)),"")</f>
        <v>19</v>
      </c>
      <c r="J5" s="2" t="s">
        <v>263</v>
      </c>
      <c r="K5" s="2">
        <f>IFERROR(INDEX('State Summary'!$C$2:$C$38,MATCH($J5,'State Summary'!$A$2:$A$38,0)),"")</f>
        <v>18</v>
      </c>
    </row>
    <row r="6" spans="1:11" x14ac:dyDescent="0.25">
      <c r="A6" s="2" t="s">
        <v>50</v>
      </c>
      <c r="B6" s="4">
        <f>IFERROR(INDEX('Item Summary'!$K$2:$K$53,MATCH($A6,'Item Summary'!$A$2:$A$53,0)),"")</f>
        <v>132.097369745983</v>
      </c>
      <c r="D6" s="2" t="s">
        <v>280</v>
      </c>
      <c r="E6" s="4">
        <f>IFERROR(INDEX('Item Summary'!$J$2:$J$53,MATCH($D6,'Item Summary'!$A$2:$A$53,0)),"")</f>
        <v>5.7332267287564536</v>
      </c>
      <c r="G6" s="2" t="s">
        <v>173</v>
      </c>
      <c r="H6" s="2">
        <f>IFERROR(INDEX('State Summary'!$B$2:$B$38,MATCH($G6,'State Summary'!$A$2:$A$38,0)),"")</f>
        <v>19</v>
      </c>
      <c r="J6" s="2" t="s">
        <v>34</v>
      </c>
      <c r="K6" s="2">
        <f>IFERROR(INDEX('State Summary'!$C$2:$C$38,MATCH($J6,'State Summary'!$A$2:$A$38,0)),"")</f>
        <v>17</v>
      </c>
    </row>
    <row r="7" spans="1:11" x14ac:dyDescent="0.25">
      <c r="A7" s="2" t="s">
        <v>86</v>
      </c>
      <c r="B7" s="4">
        <f>IFERROR(INDEX('Item Summary'!$K$2:$K$53,MATCH($A7,'Item Summary'!$A$2:$A$53,0)),"")</f>
        <v>126.05759490161624</v>
      </c>
      <c r="D7" s="2" t="s">
        <v>421</v>
      </c>
      <c r="E7" s="4">
        <f>IFERROR(INDEX('Item Summary'!$J$2:$J$53,MATCH($D7,'Item Summary'!$A$2:$A$53,0)),"")</f>
        <v>5.5793612203615561</v>
      </c>
      <c r="G7" s="2" t="s">
        <v>27</v>
      </c>
      <c r="H7" s="2">
        <f>IFERROR(INDEX('State Summary'!$B$2:$B$38,MATCH($G7,'State Summary'!$A$2:$A$38,0)),"")</f>
        <v>15</v>
      </c>
      <c r="J7" s="2" t="s">
        <v>118</v>
      </c>
      <c r="K7" s="2">
        <f>IFERROR(INDEX('State Summary'!$C$2:$C$38,MATCH($J7,'State Summary'!$A$2:$A$38,0)),"")</f>
        <v>16</v>
      </c>
    </row>
    <row r="8" spans="1:11" x14ac:dyDescent="0.25">
      <c r="A8" s="2" t="s">
        <v>476</v>
      </c>
      <c r="B8" s="4">
        <f>IFERROR(INDEX('Item Summary'!$K$2:$K$53,MATCH($A8,'Item Summary'!$A$2:$A$53,0)),"")</f>
        <v>117.947724720349</v>
      </c>
      <c r="D8" s="2" t="s">
        <v>165</v>
      </c>
      <c r="E8" s="4">
        <f>IFERROR(INDEX('Item Summary'!$J$2:$J$53,MATCH($D8,'Item Summary'!$A$2:$A$53,0)),"")</f>
        <v>5.2442352424552343</v>
      </c>
      <c r="G8" s="2" t="s">
        <v>133</v>
      </c>
      <c r="H8" s="2">
        <f>IFERROR(INDEX('State Summary'!$B$2:$B$38,MATCH($G8,'State Summary'!$A$2:$A$38,0)),"")</f>
        <v>14</v>
      </c>
      <c r="J8" s="2" t="s">
        <v>29</v>
      </c>
      <c r="K8" s="2">
        <f>IFERROR(INDEX('State Summary'!$C$2:$C$38,MATCH($J8,'State Summary'!$A$2:$A$38,0)),"")</f>
        <v>15</v>
      </c>
    </row>
    <row r="9" spans="1:11" x14ac:dyDescent="0.25">
      <c r="A9" s="2" t="s">
        <v>421</v>
      </c>
      <c r="B9" s="4">
        <f>IFERROR(INDEX('Item Summary'!$K$2:$K$53,MATCH($A9,'Item Summary'!$A$2:$A$53,0)),"")</f>
        <v>116.20339890279949</v>
      </c>
      <c r="D9" s="2" t="s">
        <v>555</v>
      </c>
      <c r="E9" s="4">
        <f>IFERROR(INDEX('Item Summary'!$J$2:$J$53,MATCH($D9,'Item Summary'!$A$2:$A$53,0)),"")</f>
        <v>4.8128486803264634</v>
      </c>
      <c r="G9" s="2" t="s">
        <v>107</v>
      </c>
      <c r="H9" s="2">
        <f>IFERROR(INDEX('State Summary'!$B$2:$B$38,MATCH($G9,'State Summary'!$A$2:$A$38,0)),"")</f>
        <v>11</v>
      </c>
      <c r="J9" s="2" t="s">
        <v>59</v>
      </c>
      <c r="K9" s="2">
        <f>IFERROR(INDEX('State Summary'!$C$2:$C$38,MATCH($J9,'State Summary'!$A$2:$A$38,0)),"")</f>
        <v>13</v>
      </c>
    </row>
    <row r="10" spans="1:11" x14ac:dyDescent="0.25">
      <c r="A10" s="2" t="s">
        <v>481</v>
      </c>
      <c r="B10" s="4">
        <f>IFERROR(INDEX('Item Summary'!$K$2:$K$53,MATCH($A10,'Item Summary'!$A$2:$A$53,0)),"")</f>
        <v>116.14750167074</v>
      </c>
      <c r="D10" s="2" t="s">
        <v>351</v>
      </c>
      <c r="E10" s="4">
        <f>IFERROR(INDEX('Item Summary'!$J$2:$J$53,MATCH($D10,'Item Summary'!$A$2:$A$53,0)),"")</f>
        <v>4.8038654005349217</v>
      </c>
      <c r="G10" s="2" t="s">
        <v>318</v>
      </c>
      <c r="H10" s="2">
        <f>IFERROR(INDEX('State Summary'!$B$2:$B$38,MATCH($G10,'State Summary'!$A$2:$A$38,0)),"")</f>
        <v>11</v>
      </c>
      <c r="J10" s="2" t="s">
        <v>62</v>
      </c>
      <c r="K10" s="2">
        <f>IFERROR(INDEX('State Summary'!$C$2:$C$38,MATCH($J10,'State Summary'!$A$2:$A$38,0)),"")</f>
        <v>13</v>
      </c>
    </row>
    <row r="11" spans="1:11" x14ac:dyDescent="0.25">
      <c r="A11" s="2" t="s">
        <v>616</v>
      </c>
      <c r="B11" s="4">
        <f>IFERROR(INDEX('Item Summary'!$K$2:$K$53,MATCH($A11,'Item Summary'!$A$2:$A$53,0)),"")</f>
        <v>114.9858518921007</v>
      </c>
      <c r="D11" s="2" t="s">
        <v>298</v>
      </c>
      <c r="E11" s="4">
        <f>IFERROR(INDEX('Item Summary'!$J$2:$J$53,MATCH($D11,'Item Summary'!$A$2:$A$53,0)),"")</f>
        <v>4.6975733884118167</v>
      </c>
      <c r="G11" s="2" t="s">
        <v>62</v>
      </c>
      <c r="H11" s="2">
        <f>IFERROR(INDEX('State Summary'!$B$2:$B$38,MATCH($G11,'State Summary'!$A$2:$A$38,0)),"")</f>
        <v>10</v>
      </c>
      <c r="J11" s="2" t="s">
        <v>189</v>
      </c>
      <c r="K11" s="2">
        <f>IFERROR(INDEX('State Summary'!$C$2:$C$38,MATCH($J11,'State Summary'!$A$2:$A$38,0)),"")</f>
        <v>11</v>
      </c>
    </row>
    <row r="12" spans="1:11" x14ac:dyDescent="0.25">
      <c r="A12" s="2" t="s">
        <v>515</v>
      </c>
      <c r="B12" s="4">
        <f>IFERROR(INDEX('Item Summary'!$K$2:$K$53,MATCH($A12,'Item Summary'!$A$2:$A$53,0)),"")</f>
        <v>105.83781937288173</v>
      </c>
      <c r="D12" s="2" t="s">
        <v>388</v>
      </c>
      <c r="E12" s="4">
        <f>IFERROR(INDEX('Item Summary'!$J$2:$J$53,MATCH($D12,'Item Summary'!$A$2:$A$53,0)),"")</f>
        <v>4.682831010863115</v>
      </c>
      <c r="G12" s="2" t="s">
        <v>152</v>
      </c>
      <c r="H12" s="2">
        <f>IFERROR(INDEX('State Summary'!$B$2:$B$38,MATCH($G12,'State Summary'!$A$2:$A$38,0)),"")</f>
        <v>10</v>
      </c>
      <c r="J12" s="2" t="s">
        <v>91</v>
      </c>
      <c r="K12" s="2">
        <f>IFERROR(INDEX('State Summary'!$C$2:$C$38,MATCH($J12,'State Summary'!$A$2:$A$38,0)),"")</f>
        <v>10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3"/>
  <sheetViews>
    <sheetView zoomScaleNormal="100" workbookViewId="0">
      <pane ySplit="1" topLeftCell="A2" activePane="bottomLeft" state="frozen"/>
      <selection pane="bottomLeft"/>
    </sheetView>
  </sheetViews>
  <sheetFormatPr defaultColWidth="8.7109375" defaultRowHeight="15" x14ac:dyDescent="0.25"/>
  <cols>
    <col min="1" max="1" width="32" customWidth="1"/>
    <col min="2" max="2" width="55" customWidth="1"/>
    <col min="3" max="3" width="16" customWidth="1"/>
    <col min="4" max="4" width="60" customWidth="1"/>
    <col min="5" max="5" width="40" customWidth="1"/>
  </cols>
  <sheetData>
    <row r="1" spans="1:5" ht="27.75" customHeight="1" x14ac:dyDescent="0.25">
      <c r="A1" s="5" t="s">
        <v>9</v>
      </c>
      <c r="B1" s="5" t="s">
        <v>650</v>
      </c>
      <c r="C1" s="5" t="s">
        <v>11</v>
      </c>
      <c r="D1" s="5" t="s">
        <v>651</v>
      </c>
      <c r="E1" s="5" t="s">
        <v>630</v>
      </c>
    </row>
    <row r="2" spans="1:5" x14ac:dyDescent="0.25">
      <c r="A2" s="2" t="s">
        <v>1</v>
      </c>
      <c r="B2" s="2" t="s">
        <v>652</v>
      </c>
      <c r="C2" s="6" t="s">
        <v>25</v>
      </c>
      <c r="D2" s="2" t="s">
        <v>653</v>
      </c>
      <c r="E2" s="2" t="s">
        <v>654</v>
      </c>
    </row>
    <row r="3" spans="1:5" x14ac:dyDescent="0.25">
      <c r="A3" s="2" t="s">
        <v>68</v>
      </c>
      <c r="B3" s="2" t="s">
        <v>655</v>
      </c>
      <c r="C3" s="6" t="s">
        <v>25</v>
      </c>
      <c r="D3" s="2" t="s">
        <v>653</v>
      </c>
      <c r="E3" s="2" t="s">
        <v>654</v>
      </c>
    </row>
    <row r="4" spans="1:5" x14ac:dyDescent="0.25">
      <c r="A4" s="2" t="s">
        <v>86</v>
      </c>
      <c r="B4" s="2" t="s">
        <v>656</v>
      </c>
      <c r="C4" s="6" t="s">
        <v>25</v>
      </c>
      <c r="D4" s="2" t="s">
        <v>653</v>
      </c>
      <c r="E4" s="2" t="s">
        <v>654</v>
      </c>
    </row>
    <row r="5" spans="1:5" x14ac:dyDescent="0.25">
      <c r="A5" s="2" t="s">
        <v>109</v>
      </c>
      <c r="B5" s="2" t="s">
        <v>657</v>
      </c>
      <c r="C5" s="6" t="s">
        <v>25</v>
      </c>
      <c r="D5" s="2" t="s">
        <v>653</v>
      </c>
      <c r="E5" s="2" t="s">
        <v>654</v>
      </c>
    </row>
    <row r="6" spans="1:5" x14ac:dyDescent="0.25">
      <c r="A6" s="2" t="s">
        <v>165</v>
      </c>
      <c r="B6" s="2" t="s">
        <v>658</v>
      </c>
      <c r="C6" s="6" t="s">
        <v>25</v>
      </c>
      <c r="D6" s="2" t="s">
        <v>653</v>
      </c>
      <c r="E6" s="2" t="s">
        <v>654</v>
      </c>
    </row>
    <row r="7" spans="1:5" x14ac:dyDescent="0.25">
      <c r="A7" s="2" t="s">
        <v>192</v>
      </c>
      <c r="B7" s="2" t="s">
        <v>192</v>
      </c>
      <c r="C7" s="6" t="s">
        <v>25</v>
      </c>
      <c r="D7" s="2" t="s">
        <v>653</v>
      </c>
      <c r="E7" s="2" t="s">
        <v>654</v>
      </c>
    </row>
    <row r="8" spans="1:5" x14ac:dyDescent="0.25">
      <c r="A8" s="2" t="s">
        <v>205</v>
      </c>
      <c r="B8" s="2" t="s">
        <v>659</v>
      </c>
      <c r="C8" s="6" t="s">
        <v>25</v>
      </c>
      <c r="D8" s="2" t="s">
        <v>653</v>
      </c>
      <c r="E8" s="2" t="s">
        <v>654</v>
      </c>
    </row>
    <row r="9" spans="1:5" x14ac:dyDescent="0.25">
      <c r="A9" s="2" t="s">
        <v>216</v>
      </c>
      <c r="B9" s="2" t="s">
        <v>660</v>
      </c>
      <c r="C9" s="6" t="s">
        <v>25</v>
      </c>
      <c r="D9" s="2" t="s">
        <v>653</v>
      </c>
      <c r="E9" s="2" t="s">
        <v>654</v>
      </c>
    </row>
    <row r="10" spans="1:5" x14ac:dyDescent="0.25">
      <c r="A10" s="2" t="s">
        <v>251</v>
      </c>
      <c r="B10" s="2" t="s">
        <v>661</v>
      </c>
      <c r="C10" s="6" t="s">
        <v>25</v>
      </c>
      <c r="D10" s="2" t="s">
        <v>653</v>
      </c>
      <c r="E10" s="2" t="s">
        <v>654</v>
      </c>
    </row>
    <row r="11" spans="1:5" x14ac:dyDescent="0.25">
      <c r="A11" s="2" t="s">
        <v>266</v>
      </c>
      <c r="B11" s="2" t="s">
        <v>662</v>
      </c>
      <c r="C11" s="6" t="s">
        <v>25</v>
      </c>
      <c r="D11" s="2" t="s">
        <v>653</v>
      </c>
      <c r="E11" s="2" t="s">
        <v>654</v>
      </c>
    </row>
    <row r="12" spans="1:5" x14ac:dyDescent="0.25">
      <c r="A12" s="2" t="s">
        <v>326</v>
      </c>
      <c r="B12" s="2" t="s">
        <v>663</v>
      </c>
      <c r="C12" s="6" t="s">
        <v>25</v>
      </c>
      <c r="D12" s="2" t="s">
        <v>653</v>
      </c>
      <c r="E12" s="2" t="s">
        <v>654</v>
      </c>
    </row>
    <row r="13" spans="1:5" x14ac:dyDescent="0.25">
      <c r="A13" s="2" t="s">
        <v>351</v>
      </c>
      <c r="B13" s="2" t="s">
        <v>664</v>
      </c>
      <c r="C13" s="6" t="s">
        <v>25</v>
      </c>
      <c r="D13" s="2" t="s">
        <v>653</v>
      </c>
      <c r="E13" s="2" t="s">
        <v>654</v>
      </c>
    </row>
    <row r="14" spans="1:5" x14ac:dyDescent="0.25">
      <c r="A14" s="2" t="s">
        <v>365</v>
      </c>
      <c r="B14" s="2" t="s">
        <v>665</v>
      </c>
      <c r="C14" s="6" t="s">
        <v>25</v>
      </c>
      <c r="D14" s="2" t="s">
        <v>653</v>
      </c>
      <c r="E14" s="2" t="s">
        <v>654</v>
      </c>
    </row>
    <row r="15" spans="1:5" x14ac:dyDescent="0.25">
      <c r="A15" s="2" t="s">
        <v>393</v>
      </c>
      <c r="B15" s="2" t="s">
        <v>666</v>
      </c>
      <c r="C15" s="6" t="s">
        <v>25</v>
      </c>
      <c r="D15" s="2" t="s">
        <v>653</v>
      </c>
      <c r="E15" s="2" t="s">
        <v>654</v>
      </c>
    </row>
    <row r="16" spans="1:5" x14ac:dyDescent="0.25">
      <c r="A16" s="2" t="s">
        <v>409</v>
      </c>
      <c r="B16" s="2" t="s">
        <v>667</v>
      </c>
      <c r="C16" s="6" t="s">
        <v>25</v>
      </c>
      <c r="D16" s="2" t="s">
        <v>653</v>
      </c>
      <c r="E16" s="2" t="s">
        <v>654</v>
      </c>
    </row>
    <row r="17" spans="1:5" x14ac:dyDescent="0.25">
      <c r="A17" s="2" t="s">
        <v>421</v>
      </c>
      <c r="B17" s="2" t="s">
        <v>668</v>
      </c>
      <c r="C17" s="6" t="s">
        <v>25</v>
      </c>
      <c r="D17" s="2" t="s">
        <v>653</v>
      </c>
      <c r="E17" s="2" t="s">
        <v>654</v>
      </c>
    </row>
    <row r="18" spans="1:5" x14ac:dyDescent="0.25">
      <c r="A18" s="2" t="s">
        <v>436</v>
      </c>
      <c r="B18" s="2" t="s">
        <v>669</v>
      </c>
      <c r="C18" s="6" t="s">
        <v>25</v>
      </c>
      <c r="D18" s="2" t="s">
        <v>653</v>
      </c>
      <c r="E18" s="2" t="s">
        <v>654</v>
      </c>
    </row>
    <row r="19" spans="1:5" x14ac:dyDescent="0.25">
      <c r="A19" s="2" t="s">
        <v>449</v>
      </c>
      <c r="B19" s="2" t="s">
        <v>670</v>
      </c>
      <c r="C19" s="6" t="s">
        <v>25</v>
      </c>
      <c r="D19" s="2" t="s">
        <v>653</v>
      </c>
      <c r="E19" s="2" t="s">
        <v>654</v>
      </c>
    </row>
    <row r="20" spans="1:5" x14ac:dyDescent="0.25">
      <c r="A20" s="2" t="s">
        <v>463</v>
      </c>
      <c r="B20" s="2" t="s">
        <v>671</v>
      </c>
      <c r="C20" s="6" t="s">
        <v>25</v>
      </c>
      <c r="D20" s="2" t="s">
        <v>653</v>
      </c>
      <c r="E20" s="2" t="s">
        <v>654</v>
      </c>
    </row>
    <row r="21" spans="1:5" x14ac:dyDescent="0.25">
      <c r="A21" s="2" t="s">
        <v>502</v>
      </c>
      <c r="B21" s="2" t="s">
        <v>672</v>
      </c>
      <c r="C21" s="6" t="s">
        <v>25</v>
      </c>
      <c r="D21" s="2" t="s">
        <v>653</v>
      </c>
      <c r="E21" s="2" t="s">
        <v>654</v>
      </c>
    </row>
    <row r="22" spans="1:5" x14ac:dyDescent="0.25">
      <c r="A22" s="2" t="s">
        <v>515</v>
      </c>
      <c r="B22" s="2" t="s">
        <v>673</v>
      </c>
      <c r="C22" s="6" t="s">
        <v>25</v>
      </c>
      <c r="D22" s="2" t="s">
        <v>653</v>
      </c>
      <c r="E22" s="2" t="s">
        <v>654</v>
      </c>
    </row>
    <row r="23" spans="1:5" x14ac:dyDescent="0.25">
      <c r="A23" s="2" t="s">
        <v>528</v>
      </c>
      <c r="B23" s="2" t="s">
        <v>674</v>
      </c>
      <c r="C23" s="6" t="s">
        <v>25</v>
      </c>
      <c r="D23" s="2" t="s">
        <v>653</v>
      </c>
      <c r="E23" s="2" t="s">
        <v>654</v>
      </c>
    </row>
    <row r="24" spans="1:5" x14ac:dyDescent="0.25">
      <c r="A24" s="2" t="s">
        <v>555</v>
      </c>
      <c r="B24" s="2" t="s">
        <v>675</v>
      </c>
      <c r="C24" s="6" t="s">
        <v>25</v>
      </c>
      <c r="D24" s="2" t="s">
        <v>653</v>
      </c>
      <c r="E24" s="2" t="s">
        <v>654</v>
      </c>
    </row>
    <row r="25" spans="1:5" x14ac:dyDescent="0.25">
      <c r="A25" s="2" t="s">
        <v>567</v>
      </c>
      <c r="B25" s="2" t="s">
        <v>676</v>
      </c>
      <c r="C25" s="6" t="s">
        <v>25</v>
      </c>
      <c r="D25" s="2" t="s">
        <v>653</v>
      </c>
      <c r="E25" s="2" t="s">
        <v>654</v>
      </c>
    </row>
    <row r="26" spans="1:5" x14ac:dyDescent="0.25">
      <c r="A26" s="2" t="s">
        <v>582</v>
      </c>
      <c r="B26" s="2" t="s">
        <v>677</v>
      </c>
      <c r="C26" s="6" t="s">
        <v>25</v>
      </c>
      <c r="D26" s="2" t="s">
        <v>653</v>
      </c>
      <c r="E26" s="2" t="s">
        <v>654</v>
      </c>
    </row>
    <row r="27" spans="1:5" x14ac:dyDescent="0.25">
      <c r="A27" s="2" t="s">
        <v>602</v>
      </c>
      <c r="B27" s="2" t="s">
        <v>678</v>
      </c>
      <c r="C27" s="6" t="s">
        <v>25</v>
      </c>
      <c r="D27" s="2" t="s">
        <v>653</v>
      </c>
      <c r="E27" s="2" t="s">
        <v>654</v>
      </c>
    </row>
    <row r="28" spans="1:5" x14ac:dyDescent="0.25">
      <c r="A28" s="2" t="s">
        <v>616</v>
      </c>
      <c r="B28" s="2" t="s">
        <v>679</v>
      </c>
      <c r="C28" s="6" t="s">
        <v>25</v>
      </c>
      <c r="D28" s="2" t="s">
        <v>653</v>
      </c>
      <c r="E28" s="2" t="s">
        <v>654</v>
      </c>
    </row>
    <row r="29" spans="1:5" x14ac:dyDescent="0.25">
      <c r="A29" s="2" t="s">
        <v>101</v>
      </c>
      <c r="B29" s="2" t="s">
        <v>101</v>
      </c>
      <c r="C29" s="8" t="s">
        <v>102</v>
      </c>
      <c r="D29" s="2" t="s">
        <v>680</v>
      </c>
      <c r="E29" s="2" t="s">
        <v>681</v>
      </c>
    </row>
    <row r="30" spans="1:5" x14ac:dyDescent="0.25">
      <c r="A30" s="2" t="s">
        <v>179</v>
      </c>
      <c r="B30" s="2" t="s">
        <v>179</v>
      </c>
      <c r="C30" s="8" t="s">
        <v>102</v>
      </c>
      <c r="D30" s="2" t="s">
        <v>680</v>
      </c>
      <c r="E30" s="2" t="s">
        <v>681</v>
      </c>
    </row>
    <row r="31" spans="1:5" x14ac:dyDescent="0.25">
      <c r="A31" s="2" t="s">
        <v>186</v>
      </c>
      <c r="B31" s="2" t="s">
        <v>186</v>
      </c>
      <c r="C31" s="8" t="s">
        <v>102</v>
      </c>
      <c r="D31" s="2" t="s">
        <v>680</v>
      </c>
      <c r="E31" s="2" t="s">
        <v>681</v>
      </c>
    </row>
    <row r="32" spans="1:5" x14ac:dyDescent="0.25">
      <c r="A32" s="2" t="s">
        <v>237</v>
      </c>
      <c r="B32" s="2" t="s">
        <v>237</v>
      </c>
      <c r="C32" s="8" t="s">
        <v>102</v>
      </c>
      <c r="D32" s="2" t="s">
        <v>680</v>
      </c>
      <c r="E32" s="2" t="s">
        <v>681</v>
      </c>
    </row>
    <row r="33" spans="1:5" x14ac:dyDescent="0.25">
      <c r="A33" s="2" t="s">
        <v>321</v>
      </c>
      <c r="B33" s="2" t="s">
        <v>321</v>
      </c>
      <c r="C33" s="8" t="s">
        <v>102</v>
      </c>
      <c r="D33" s="2" t="s">
        <v>680</v>
      </c>
      <c r="E33" s="2" t="s">
        <v>681</v>
      </c>
    </row>
    <row r="34" spans="1:5" x14ac:dyDescent="0.25">
      <c r="A34" s="2" t="s">
        <v>379</v>
      </c>
      <c r="B34" s="2" t="s">
        <v>379</v>
      </c>
      <c r="C34" s="8" t="s">
        <v>102</v>
      </c>
      <c r="D34" s="2" t="s">
        <v>680</v>
      </c>
      <c r="E34" s="2" t="s">
        <v>681</v>
      </c>
    </row>
    <row r="35" spans="1:5" x14ac:dyDescent="0.25">
      <c r="A35" s="2" t="s">
        <v>383</v>
      </c>
      <c r="B35" s="2" t="s">
        <v>383</v>
      </c>
      <c r="C35" s="8" t="s">
        <v>102</v>
      </c>
      <c r="D35" s="2" t="s">
        <v>680</v>
      </c>
      <c r="E35" s="2" t="s">
        <v>681</v>
      </c>
    </row>
    <row r="36" spans="1:5" x14ac:dyDescent="0.25">
      <c r="A36" s="2" t="s">
        <v>388</v>
      </c>
      <c r="B36" s="2" t="s">
        <v>388</v>
      </c>
      <c r="C36" s="8" t="s">
        <v>102</v>
      </c>
      <c r="D36" s="2" t="s">
        <v>680</v>
      </c>
      <c r="E36" s="2" t="s">
        <v>681</v>
      </c>
    </row>
    <row r="37" spans="1:5" x14ac:dyDescent="0.25">
      <c r="A37" s="2" t="s">
        <v>476</v>
      </c>
      <c r="B37" s="2" t="s">
        <v>476</v>
      </c>
      <c r="C37" s="8" t="s">
        <v>102</v>
      </c>
      <c r="D37" s="2" t="s">
        <v>680</v>
      </c>
      <c r="E37" s="2" t="s">
        <v>681</v>
      </c>
    </row>
    <row r="38" spans="1:5" x14ac:dyDescent="0.25">
      <c r="A38" s="2" t="s">
        <v>481</v>
      </c>
      <c r="B38" s="2" t="s">
        <v>481</v>
      </c>
      <c r="C38" s="8" t="s">
        <v>102</v>
      </c>
      <c r="D38" s="2" t="s">
        <v>680</v>
      </c>
      <c r="E38" s="2" t="s">
        <v>681</v>
      </c>
    </row>
    <row r="39" spans="1:5" x14ac:dyDescent="0.25">
      <c r="A39" s="2" t="s">
        <v>50</v>
      </c>
      <c r="B39" s="2" t="s">
        <v>682</v>
      </c>
      <c r="C39" s="7" t="s">
        <v>52</v>
      </c>
      <c r="D39" s="2" t="s">
        <v>683</v>
      </c>
      <c r="E39" s="2" t="s">
        <v>654</v>
      </c>
    </row>
    <row r="40" spans="1:5" x14ac:dyDescent="0.25">
      <c r="A40" s="2" t="s">
        <v>125</v>
      </c>
      <c r="B40" s="2" t="s">
        <v>684</v>
      </c>
      <c r="C40" s="7" t="s">
        <v>52</v>
      </c>
      <c r="D40" s="2" t="s">
        <v>683</v>
      </c>
      <c r="E40" s="2" t="s">
        <v>654</v>
      </c>
    </row>
    <row r="41" spans="1:5" x14ac:dyDescent="0.25">
      <c r="A41" s="2" t="s">
        <v>138</v>
      </c>
      <c r="B41" s="2" t="s">
        <v>685</v>
      </c>
      <c r="C41" s="7" t="s">
        <v>52</v>
      </c>
      <c r="D41" s="2" t="s">
        <v>683</v>
      </c>
      <c r="E41" s="2" t="s">
        <v>654</v>
      </c>
    </row>
    <row r="42" spans="1:5" x14ac:dyDescent="0.25">
      <c r="A42" s="2" t="s">
        <v>298</v>
      </c>
      <c r="B42" s="2" t="s">
        <v>686</v>
      </c>
      <c r="C42" s="7" t="s">
        <v>52</v>
      </c>
      <c r="D42" s="2" t="s">
        <v>683</v>
      </c>
      <c r="E42" s="2" t="s">
        <v>654</v>
      </c>
    </row>
    <row r="43" spans="1:5" x14ac:dyDescent="0.25">
      <c r="A43" s="2" t="s">
        <v>340</v>
      </c>
      <c r="B43" s="2" t="s">
        <v>687</v>
      </c>
      <c r="C43" s="7" t="s">
        <v>52</v>
      </c>
      <c r="D43" s="2" t="s">
        <v>683</v>
      </c>
      <c r="E43" s="2" t="s">
        <v>654</v>
      </c>
    </row>
    <row r="44" spans="1:5" x14ac:dyDescent="0.25">
      <c r="A44" s="2" t="s">
        <v>542</v>
      </c>
      <c r="B44" s="2" t="s">
        <v>688</v>
      </c>
      <c r="C44" s="7" t="s">
        <v>52</v>
      </c>
      <c r="D44" s="2" t="s">
        <v>683</v>
      </c>
      <c r="E44" s="2" t="s">
        <v>654</v>
      </c>
    </row>
    <row r="45" spans="1:5" x14ac:dyDescent="0.25">
      <c r="A45" s="2" t="s">
        <v>153</v>
      </c>
      <c r="B45" s="2" t="s">
        <v>153</v>
      </c>
      <c r="C45" s="9" t="s">
        <v>154</v>
      </c>
      <c r="D45" s="2" t="s">
        <v>689</v>
      </c>
      <c r="E45" s="2" t="s">
        <v>690</v>
      </c>
    </row>
    <row r="46" spans="1:5" x14ac:dyDescent="0.25">
      <c r="A46" s="2" t="s">
        <v>230</v>
      </c>
      <c r="B46" s="2" t="s">
        <v>230</v>
      </c>
      <c r="C46" s="9" t="s">
        <v>154</v>
      </c>
      <c r="D46" s="2" t="s">
        <v>689</v>
      </c>
      <c r="E46" s="2" t="s">
        <v>690</v>
      </c>
    </row>
    <row r="47" spans="1:5" x14ac:dyDescent="0.25">
      <c r="A47" s="2" t="s">
        <v>242</v>
      </c>
      <c r="B47" s="2" t="s">
        <v>242</v>
      </c>
      <c r="C47" s="9" t="s">
        <v>154</v>
      </c>
      <c r="D47" s="2" t="s">
        <v>689</v>
      </c>
      <c r="E47" s="2" t="s">
        <v>690</v>
      </c>
    </row>
    <row r="48" spans="1:5" x14ac:dyDescent="0.25">
      <c r="A48" s="2" t="s">
        <v>280</v>
      </c>
      <c r="B48" s="2" t="s">
        <v>280</v>
      </c>
      <c r="C48" s="9" t="s">
        <v>154</v>
      </c>
      <c r="D48" s="2" t="s">
        <v>689</v>
      </c>
      <c r="E48" s="2" t="s">
        <v>690</v>
      </c>
    </row>
    <row r="49" spans="1:5" x14ac:dyDescent="0.25">
      <c r="A49" s="2" t="s">
        <v>289</v>
      </c>
      <c r="B49" s="2" t="s">
        <v>289</v>
      </c>
      <c r="C49" s="9" t="s">
        <v>154</v>
      </c>
      <c r="D49" s="2" t="s">
        <v>689</v>
      </c>
      <c r="E49" s="2" t="s">
        <v>690</v>
      </c>
    </row>
    <row r="50" spans="1:5" x14ac:dyDescent="0.25">
      <c r="A50" s="2" t="s">
        <v>311</v>
      </c>
      <c r="B50" s="2" t="s">
        <v>311</v>
      </c>
      <c r="C50" s="9" t="s">
        <v>154</v>
      </c>
      <c r="D50" s="2" t="s">
        <v>689</v>
      </c>
      <c r="E50" s="2" t="s">
        <v>690</v>
      </c>
    </row>
    <row r="51" spans="1:5" x14ac:dyDescent="0.25">
      <c r="A51" s="2" t="s">
        <v>486</v>
      </c>
      <c r="B51" s="2" t="s">
        <v>486</v>
      </c>
      <c r="C51" s="9" t="s">
        <v>154</v>
      </c>
      <c r="D51" s="2" t="s">
        <v>689</v>
      </c>
      <c r="E51" s="2" t="s">
        <v>690</v>
      </c>
    </row>
    <row r="52" spans="1:5" x14ac:dyDescent="0.25">
      <c r="A52" s="2" t="s">
        <v>494</v>
      </c>
      <c r="B52" s="2" t="s">
        <v>494</v>
      </c>
      <c r="C52" s="9" t="s">
        <v>154</v>
      </c>
      <c r="D52" s="2" t="s">
        <v>689</v>
      </c>
      <c r="E52" s="2" t="s">
        <v>690</v>
      </c>
    </row>
    <row r="53" spans="1:5" x14ac:dyDescent="0.25">
      <c r="A53" s="2" t="s">
        <v>593</v>
      </c>
      <c r="B53" s="2" t="s">
        <v>593</v>
      </c>
      <c r="C53" s="9" t="s">
        <v>154</v>
      </c>
      <c r="D53" s="2" t="s">
        <v>689</v>
      </c>
      <c r="E53" s="2" t="s">
        <v>690</v>
      </c>
    </row>
  </sheetData>
  <autoFilter ref="A1:E53" xr:uid="{00000000-0009-0000-0000-000006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55"/>
  <sheetViews>
    <sheetView zoomScaleNormal="100" workbookViewId="0">
      <pane ySplit="1" topLeftCell="A2" activePane="bottomLeft" state="frozen"/>
      <selection pane="bottomLeft"/>
    </sheetView>
  </sheetViews>
  <sheetFormatPr defaultColWidth="8.7109375" defaultRowHeight="15" x14ac:dyDescent="0.25"/>
  <cols>
    <col min="1" max="1" width="10" customWidth="1"/>
    <col min="2" max="2" width="32" customWidth="1"/>
    <col min="3" max="3" width="38" customWidth="1"/>
    <col min="4" max="4" width="20" customWidth="1"/>
    <col min="5" max="6" width="18" customWidth="1"/>
    <col min="7" max="8" width="10" customWidth="1"/>
    <col min="9" max="10" width="20" customWidth="1"/>
  </cols>
  <sheetData>
    <row r="1" spans="1:10" ht="27.75" customHeight="1" x14ac:dyDescent="0.25">
      <c r="A1" s="5" t="s">
        <v>2</v>
      </c>
      <c r="B1" s="5" t="s">
        <v>23</v>
      </c>
      <c r="C1" s="5" t="s">
        <v>10</v>
      </c>
      <c r="D1" s="5" t="s">
        <v>12</v>
      </c>
      <c r="E1" s="5" t="s">
        <v>13</v>
      </c>
      <c r="F1" s="5" t="s">
        <v>14</v>
      </c>
      <c r="G1" s="5" t="s">
        <v>15</v>
      </c>
      <c r="H1" s="5" t="s">
        <v>16</v>
      </c>
      <c r="I1" s="5" t="s">
        <v>17</v>
      </c>
      <c r="J1" s="5" t="s">
        <v>20</v>
      </c>
    </row>
    <row r="2" spans="1:10" x14ac:dyDescent="0.25">
      <c r="A2" s="2" t="s">
        <v>3</v>
      </c>
      <c r="B2" s="2" t="s">
        <v>30</v>
      </c>
      <c r="C2" s="2" t="s">
        <v>51</v>
      </c>
      <c r="D2" s="3">
        <v>1202.17676890598</v>
      </c>
      <c r="E2" s="3">
        <v>2671.6021177723001</v>
      </c>
      <c r="F2" s="3">
        <v>2833.9730241430798</v>
      </c>
      <c r="G2" s="3">
        <v>6.0776604903340896</v>
      </c>
      <c r="H2" s="3">
        <v>135.73679823492901</v>
      </c>
      <c r="I2" s="2" t="s">
        <v>53</v>
      </c>
      <c r="J2" s="2" t="s">
        <v>54</v>
      </c>
    </row>
    <row r="3" spans="1:10" x14ac:dyDescent="0.25">
      <c r="A3" s="2" t="s">
        <v>3</v>
      </c>
      <c r="B3" s="2" t="s">
        <v>30</v>
      </c>
      <c r="C3" s="2" t="s">
        <v>24</v>
      </c>
      <c r="D3" s="3">
        <v>110.09887211887199</v>
      </c>
      <c r="E3" s="3">
        <v>235.67349814172499</v>
      </c>
      <c r="F3" s="3">
        <v>247.25909993431799</v>
      </c>
      <c r="G3" s="3">
        <v>4.9159544386384999</v>
      </c>
      <c r="H3" s="3">
        <v>124.57913980023</v>
      </c>
      <c r="I3" s="2" t="s">
        <v>26</v>
      </c>
      <c r="J3" s="2" t="s">
        <v>28</v>
      </c>
    </row>
    <row r="4" spans="1:10" x14ac:dyDescent="0.25">
      <c r="A4" s="2" t="s">
        <v>3</v>
      </c>
      <c r="B4" s="2" t="s">
        <v>30</v>
      </c>
      <c r="C4" s="2" t="s">
        <v>69</v>
      </c>
      <c r="D4" s="3">
        <v>838.84915060493097</v>
      </c>
      <c r="E4" s="3">
        <v>2798.4962083299001</v>
      </c>
      <c r="F4" s="3">
        <v>2720.9608418325502</v>
      </c>
      <c r="G4" s="3">
        <v>-2.7706082383305999</v>
      </c>
      <c r="H4" s="3">
        <v>224.36831340537699</v>
      </c>
      <c r="I4" s="2" t="s">
        <v>70</v>
      </c>
      <c r="J4" s="2" t="s">
        <v>71</v>
      </c>
    </row>
    <row r="5" spans="1:10" x14ac:dyDescent="0.25">
      <c r="A5" s="2" t="s">
        <v>3</v>
      </c>
      <c r="B5" s="2" t="s">
        <v>30</v>
      </c>
      <c r="C5" s="2" t="s">
        <v>87</v>
      </c>
      <c r="D5" s="3">
        <v>800.48677297256404</v>
      </c>
      <c r="E5" s="3">
        <v>2603.3180291153199</v>
      </c>
      <c r="F5" s="3">
        <v>2546.70254553512</v>
      </c>
      <c r="G5" s="3">
        <v>-2.1747432678996299</v>
      </c>
      <c r="H5" s="3">
        <v>218.144238171241</v>
      </c>
      <c r="I5" s="2" t="s">
        <v>88</v>
      </c>
      <c r="J5" s="2" t="s">
        <v>89</v>
      </c>
    </row>
    <row r="6" spans="1:10" x14ac:dyDescent="0.25">
      <c r="A6" s="2" t="s">
        <v>3</v>
      </c>
      <c r="B6" s="2" t="s">
        <v>30</v>
      </c>
      <c r="C6" s="2" t="s">
        <v>101</v>
      </c>
      <c r="D6" s="3">
        <v>2630.0152354513102</v>
      </c>
      <c r="E6" s="3">
        <v>4914.6218834458696</v>
      </c>
      <c r="F6" s="3">
        <v>5073.7358123538697</v>
      </c>
      <c r="G6" s="3">
        <v>3.2375619667496198</v>
      </c>
      <c r="H6" s="3">
        <v>92.916593940689395</v>
      </c>
      <c r="I6" s="2" t="s">
        <v>103</v>
      </c>
      <c r="J6" s="2" t="s">
        <v>104</v>
      </c>
    </row>
    <row r="7" spans="1:10" x14ac:dyDescent="0.25">
      <c r="A7" s="2" t="s">
        <v>3</v>
      </c>
      <c r="B7" s="2" t="s">
        <v>30</v>
      </c>
      <c r="C7" s="2" t="s">
        <v>110</v>
      </c>
      <c r="D7" s="3">
        <v>3029.50097242725</v>
      </c>
      <c r="E7" s="3">
        <v>5858.5767455405603</v>
      </c>
      <c r="F7" s="3">
        <v>6001.3163065393601</v>
      </c>
      <c r="G7" s="3">
        <v>2.4364204344929101</v>
      </c>
      <c r="H7" s="3">
        <v>98.095869952174894</v>
      </c>
      <c r="I7" s="2" t="s">
        <v>111</v>
      </c>
      <c r="J7" s="2" t="s">
        <v>112</v>
      </c>
    </row>
    <row r="8" spans="1:10" x14ac:dyDescent="0.25">
      <c r="A8" s="2" t="s">
        <v>3</v>
      </c>
      <c r="B8" s="2" t="s">
        <v>30</v>
      </c>
      <c r="C8" s="2" t="s">
        <v>126</v>
      </c>
      <c r="D8" s="3">
        <v>814.53124546624497</v>
      </c>
      <c r="E8" s="3">
        <v>1550.2427261544999</v>
      </c>
      <c r="F8" s="3">
        <v>1588.02666383821</v>
      </c>
      <c r="G8" s="3">
        <v>2.4372917251114399</v>
      </c>
      <c r="H8" s="3">
        <v>94.962031558311395</v>
      </c>
      <c r="I8" s="2" t="s">
        <v>127</v>
      </c>
      <c r="J8" s="2" t="s">
        <v>129</v>
      </c>
    </row>
    <row r="9" spans="1:10" x14ac:dyDescent="0.25">
      <c r="A9" s="2" t="s">
        <v>3</v>
      </c>
      <c r="B9" s="2" t="s">
        <v>30</v>
      </c>
      <c r="C9" s="2" t="s">
        <v>139</v>
      </c>
      <c r="D9" s="3">
        <v>795.82989255489304</v>
      </c>
      <c r="E9" s="3">
        <v>1454.43619563583</v>
      </c>
      <c r="F9" s="3">
        <v>1486.2466029906</v>
      </c>
      <c r="G9" s="3">
        <v>2.1871297929893299</v>
      </c>
      <c r="H9" s="3">
        <v>86.754307282832798</v>
      </c>
      <c r="I9" s="2" t="s">
        <v>140</v>
      </c>
      <c r="J9" s="2" t="s">
        <v>142</v>
      </c>
    </row>
    <row r="10" spans="1:10" x14ac:dyDescent="0.25">
      <c r="A10" s="2" t="s">
        <v>3</v>
      </c>
      <c r="B10" s="2" t="s">
        <v>30</v>
      </c>
      <c r="C10" s="2" t="s">
        <v>341</v>
      </c>
      <c r="D10" s="3">
        <v>940.15973585512199</v>
      </c>
      <c r="E10" s="3">
        <v>2428.6473439224601</v>
      </c>
      <c r="F10" s="3">
        <v>2485.13886536679</v>
      </c>
      <c r="G10" s="3">
        <v>2.3260487606688698</v>
      </c>
      <c r="H10" s="3">
        <v>164.33155671216099</v>
      </c>
      <c r="I10" s="2" t="s">
        <v>342</v>
      </c>
      <c r="J10" s="2" t="s">
        <v>343</v>
      </c>
    </row>
    <row r="11" spans="1:10" x14ac:dyDescent="0.25">
      <c r="A11" s="2" t="s">
        <v>3</v>
      </c>
      <c r="B11" s="2" t="s">
        <v>30</v>
      </c>
      <c r="C11" s="2" t="s">
        <v>166</v>
      </c>
      <c r="D11" s="3">
        <v>2231.2344149340001</v>
      </c>
      <c r="E11" s="3">
        <v>4148.7413673875999</v>
      </c>
      <c r="F11" s="3">
        <v>4259.9869529958096</v>
      </c>
      <c r="G11" s="3">
        <v>2.6814297580150099</v>
      </c>
      <c r="H11" s="3">
        <v>90.925118601750199</v>
      </c>
      <c r="I11" s="2" t="s">
        <v>167</v>
      </c>
      <c r="J11" s="2" t="s">
        <v>168</v>
      </c>
    </row>
    <row r="12" spans="1:10" x14ac:dyDescent="0.25">
      <c r="A12" s="2" t="s">
        <v>3</v>
      </c>
      <c r="B12" s="2" t="s">
        <v>30</v>
      </c>
      <c r="C12" s="2" t="s">
        <v>179</v>
      </c>
      <c r="D12" s="3">
        <v>3276.6288684205401</v>
      </c>
      <c r="E12" s="3">
        <v>5571.4419749531298</v>
      </c>
      <c r="F12" s="3">
        <v>5787.7444950687704</v>
      </c>
      <c r="G12" s="3">
        <v>3.8823435851624502</v>
      </c>
      <c r="H12" s="3">
        <v>76.637169709692898</v>
      </c>
      <c r="I12" s="2" t="s">
        <v>180</v>
      </c>
      <c r="J12" s="2" t="s">
        <v>181</v>
      </c>
    </row>
    <row r="13" spans="1:10" x14ac:dyDescent="0.25">
      <c r="A13" s="2" t="s">
        <v>3</v>
      </c>
      <c r="B13" s="2" t="s">
        <v>30</v>
      </c>
      <c r="C13" s="2" t="s">
        <v>186</v>
      </c>
      <c r="D13" s="3">
        <v>2816.4811145368699</v>
      </c>
      <c r="E13" s="3">
        <v>4239.9878785471701</v>
      </c>
      <c r="F13" s="3">
        <v>4352.7683447761101</v>
      </c>
      <c r="G13" s="3">
        <v>2.6599242606227298</v>
      </c>
      <c r="H13" s="3">
        <v>54.546335223407397</v>
      </c>
      <c r="I13" s="2" t="s">
        <v>187</v>
      </c>
      <c r="J13" s="2" t="s">
        <v>188</v>
      </c>
    </row>
    <row r="14" spans="1:10" x14ac:dyDescent="0.25">
      <c r="A14" s="2" t="s">
        <v>3</v>
      </c>
      <c r="B14" s="2" t="s">
        <v>30</v>
      </c>
      <c r="C14" s="2" t="s">
        <v>206</v>
      </c>
      <c r="D14" s="3">
        <v>1791.09907843934</v>
      </c>
      <c r="E14" s="3">
        <v>3267.62425232655</v>
      </c>
      <c r="F14" s="3">
        <v>3336.7032495405501</v>
      </c>
      <c r="G14" s="3">
        <v>2.1140434725571402</v>
      </c>
      <c r="H14" s="3">
        <v>86.293616567987797</v>
      </c>
      <c r="I14" s="2" t="s">
        <v>207</v>
      </c>
      <c r="J14" s="2" t="s">
        <v>208</v>
      </c>
    </row>
    <row r="15" spans="1:10" x14ac:dyDescent="0.25">
      <c r="A15" s="2" t="s">
        <v>3</v>
      </c>
      <c r="B15" s="2" t="s">
        <v>30</v>
      </c>
      <c r="C15" s="2" t="s">
        <v>192</v>
      </c>
      <c r="D15" s="3">
        <v>2046.5024153883601</v>
      </c>
      <c r="E15" s="3">
        <v>4193.9661127611698</v>
      </c>
      <c r="F15" s="3">
        <v>4316.4129177333898</v>
      </c>
      <c r="G15" s="3">
        <v>2.9195945241342001</v>
      </c>
      <c r="H15" s="3">
        <v>110.916580663516</v>
      </c>
      <c r="I15" s="2" t="s">
        <v>193</v>
      </c>
      <c r="J15" s="2" t="s">
        <v>195</v>
      </c>
    </row>
    <row r="16" spans="1:10" x14ac:dyDescent="0.25">
      <c r="A16" s="2" t="s">
        <v>3</v>
      </c>
      <c r="B16" s="2" t="s">
        <v>30</v>
      </c>
      <c r="C16" s="2" t="s">
        <v>237</v>
      </c>
      <c r="D16" s="3">
        <v>2750.9146025268601</v>
      </c>
      <c r="E16" s="3">
        <v>4641.9454427335304</v>
      </c>
      <c r="F16" s="3">
        <v>4766.5638775357702</v>
      </c>
      <c r="G16" s="3">
        <v>2.6846165328660101</v>
      </c>
      <c r="H16" s="3">
        <v>73.271968281292004</v>
      </c>
      <c r="I16" s="2" t="s">
        <v>238</v>
      </c>
      <c r="J16" s="2" t="s">
        <v>239</v>
      </c>
    </row>
    <row r="17" spans="1:10" x14ac:dyDescent="0.25">
      <c r="A17" s="2" t="s">
        <v>3</v>
      </c>
      <c r="B17" s="2" t="s">
        <v>30</v>
      </c>
      <c r="C17" s="2" t="s">
        <v>543</v>
      </c>
      <c r="D17" s="3">
        <v>469.72950450450497</v>
      </c>
      <c r="E17" s="3">
        <v>843.210790052682</v>
      </c>
      <c r="F17" s="3">
        <v>873.77102001760204</v>
      </c>
      <c r="G17" s="3">
        <v>3.6242693197759199</v>
      </c>
      <c r="H17" s="3">
        <v>86.015783900843402</v>
      </c>
      <c r="I17" s="2" t="s">
        <v>544</v>
      </c>
      <c r="J17" s="2" t="s">
        <v>545</v>
      </c>
    </row>
    <row r="18" spans="1:10" x14ac:dyDescent="0.25">
      <c r="A18" s="2" t="s">
        <v>3</v>
      </c>
      <c r="B18" s="2" t="s">
        <v>30</v>
      </c>
      <c r="C18" s="2" t="s">
        <v>529</v>
      </c>
      <c r="D18" s="3">
        <v>526.82931145431098</v>
      </c>
      <c r="E18" s="3">
        <v>955.72723653447201</v>
      </c>
      <c r="F18" s="3">
        <v>991.20399188409101</v>
      </c>
      <c r="G18" s="3">
        <v>3.7120167756503601</v>
      </c>
      <c r="H18" s="3">
        <v>88.145186748982198</v>
      </c>
      <c r="I18" s="2" t="s">
        <v>530</v>
      </c>
      <c r="J18" s="2" t="s">
        <v>531</v>
      </c>
    </row>
    <row r="19" spans="1:10" x14ac:dyDescent="0.25">
      <c r="A19" s="2" t="s">
        <v>3</v>
      </c>
      <c r="B19" s="2" t="s">
        <v>30</v>
      </c>
      <c r="C19" s="2" t="s">
        <v>217</v>
      </c>
      <c r="D19" s="3">
        <v>3645.8919819819798</v>
      </c>
      <c r="E19" s="3">
        <v>5971.9762024350603</v>
      </c>
      <c r="F19" s="3">
        <v>6130.51459408545</v>
      </c>
      <c r="G19" s="3">
        <v>2.65470568328365</v>
      </c>
      <c r="H19" s="3">
        <v>68.148552518354506</v>
      </c>
      <c r="I19" s="2" t="s">
        <v>218</v>
      </c>
      <c r="J19" s="2" t="s">
        <v>219</v>
      </c>
    </row>
    <row r="20" spans="1:10" x14ac:dyDescent="0.25">
      <c r="A20" s="2" t="s">
        <v>3</v>
      </c>
      <c r="B20" s="2" t="s">
        <v>30</v>
      </c>
      <c r="C20" s="2" t="s">
        <v>267</v>
      </c>
      <c r="D20" s="3">
        <v>548.95098552725005</v>
      </c>
      <c r="E20" s="3">
        <v>1198.0471797591199</v>
      </c>
      <c r="F20" s="3">
        <v>1205.3885873745801</v>
      </c>
      <c r="G20" s="3">
        <v>0.61278117752677597</v>
      </c>
      <c r="H20" s="3">
        <v>119.580366763863</v>
      </c>
      <c r="I20" s="2" t="s">
        <v>268</v>
      </c>
      <c r="J20" s="2" t="s">
        <v>269</v>
      </c>
    </row>
    <row r="21" spans="1:10" x14ac:dyDescent="0.25">
      <c r="A21" s="2" t="s">
        <v>3</v>
      </c>
      <c r="B21" s="2" t="s">
        <v>30</v>
      </c>
      <c r="C21" s="2" t="s">
        <v>252</v>
      </c>
      <c r="D21" s="3">
        <v>581.09197915880702</v>
      </c>
      <c r="E21" s="3">
        <v>1266.3149628077399</v>
      </c>
      <c r="F21" s="3">
        <v>1311.0286836146099</v>
      </c>
      <c r="G21" s="3">
        <v>3.53101101385794</v>
      </c>
      <c r="H21" s="3">
        <v>125.614658373441</v>
      </c>
      <c r="I21" s="2" t="s">
        <v>253</v>
      </c>
      <c r="J21" s="2" t="s">
        <v>254</v>
      </c>
    </row>
    <row r="22" spans="1:10" x14ac:dyDescent="0.25">
      <c r="A22" s="2" t="s">
        <v>3</v>
      </c>
      <c r="B22" s="2" t="s">
        <v>30</v>
      </c>
      <c r="C22" s="2" t="s">
        <v>299</v>
      </c>
      <c r="D22" s="3">
        <v>1738.96386786787</v>
      </c>
      <c r="E22" s="3">
        <v>2928.91679572354</v>
      </c>
      <c r="F22" s="3">
        <v>3165.3812084810802</v>
      </c>
      <c r="G22" s="3">
        <v>8.0734424788985795</v>
      </c>
      <c r="H22" s="3">
        <v>82.026853287189496</v>
      </c>
      <c r="I22" s="2" t="s">
        <v>300</v>
      </c>
      <c r="J22" s="2" t="s">
        <v>301</v>
      </c>
    </row>
    <row r="23" spans="1:10" x14ac:dyDescent="0.25">
      <c r="A23" s="2" t="s">
        <v>3</v>
      </c>
      <c r="B23" s="2" t="s">
        <v>30</v>
      </c>
      <c r="C23" s="2" t="s">
        <v>321</v>
      </c>
      <c r="D23" s="3">
        <v>2222.9852723586</v>
      </c>
      <c r="E23" s="3">
        <v>3706.8926611253701</v>
      </c>
      <c r="F23" s="3">
        <v>3875.65894324077</v>
      </c>
      <c r="G23" s="3">
        <v>4.5527695982480996</v>
      </c>
      <c r="H23" s="3">
        <v>74.344787229682396</v>
      </c>
      <c r="I23" s="2" t="s">
        <v>322</v>
      </c>
      <c r="J23" s="2" t="s">
        <v>323</v>
      </c>
    </row>
    <row r="24" spans="1:10" x14ac:dyDescent="0.25">
      <c r="A24" s="2" t="s">
        <v>3</v>
      </c>
      <c r="B24" s="2" t="s">
        <v>30</v>
      </c>
      <c r="C24" s="2" t="s">
        <v>327</v>
      </c>
      <c r="D24" s="3">
        <v>872.63197516621904</v>
      </c>
      <c r="E24" s="3">
        <v>1733.4783015384401</v>
      </c>
      <c r="F24" s="3">
        <v>1778.9604773569499</v>
      </c>
      <c r="G24" s="3">
        <v>2.6237522429984601</v>
      </c>
      <c r="H24" s="3">
        <v>103.86148204322799</v>
      </c>
      <c r="I24" s="2" t="s">
        <v>328</v>
      </c>
      <c r="J24" s="2" t="s">
        <v>329</v>
      </c>
    </row>
    <row r="25" spans="1:10" x14ac:dyDescent="0.25">
      <c r="A25" s="2" t="s">
        <v>3</v>
      </c>
      <c r="B25" s="2" t="s">
        <v>30</v>
      </c>
      <c r="C25" s="2" t="s">
        <v>352</v>
      </c>
      <c r="D25" s="3">
        <v>2205.0440797179699</v>
      </c>
      <c r="E25" s="3">
        <v>4136.1425292325002</v>
      </c>
      <c r="F25" s="3">
        <v>4203.7597581405698</v>
      </c>
      <c r="G25" s="3">
        <v>1.63478962415296</v>
      </c>
      <c r="H25" s="3">
        <v>90.642889945231104</v>
      </c>
      <c r="I25" s="2" t="s">
        <v>353</v>
      </c>
      <c r="J25" s="2" t="s">
        <v>354</v>
      </c>
    </row>
    <row r="26" spans="1:10" x14ac:dyDescent="0.25">
      <c r="A26" s="2" t="s">
        <v>3</v>
      </c>
      <c r="B26" s="2" t="s">
        <v>30</v>
      </c>
      <c r="C26" s="2" t="s">
        <v>366</v>
      </c>
      <c r="D26" s="3">
        <v>557.32955786346099</v>
      </c>
      <c r="E26" s="3">
        <v>1080.4421040131899</v>
      </c>
      <c r="F26" s="3">
        <v>1156.9086378729901</v>
      </c>
      <c r="G26" s="3">
        <v>7.07733746914991</v>
      </c>
      <c r="H26" s="3">
        <v>107.58070724044001</v>
      </c>
      <c r="I26" s="2" t="s">
        <v>367</v>
      </c>
      <c r="J26" s="2" t="s">
        <v>368</v>
      </c>
    </row>
    <row r="27" spans="1:10" x14ac:dyDescent="0.25">
      <c r="A27" s="2" t="s">
        <v>3</v>
      </c>
      <c r="B27" s="2" t="s">
        <v>30</v>
      </c>
      <c r="C27" s="2" t="s">
        <v>379</v>
      </c>
      <c r="D27" s="3">
        <v>559.18168834245296</v>
      </c>
      <c r="E27" s="3">
        <v>1080.9149733669799</v>
      </c>
      <c r="F27" s="3">
        <v>1163.2443098946301</v>
      </c>
      <c r="G27" s="3">
        <v>7.6166339218340102</v>
      </c>
      <c r="H27" s="3">
        <v>108.02618078262999</v>
      </c>
      <c r="I27" s="2" t="s">
        <v>380</v>
      </c>
      <c r="J27" s="2" t="s">
        <v>381</v>
      </c>
    </row>
    <row r="28" spans="1:10" x14ac:dyDescent="0.25">
      <c r="A28" s="2" t="s">
        <v>3</v>
      </c>
      <c r="B28" s="2" t="s">
        <v>30</v>
      </c>
      <c r="C28" s="2" t="s">
        <v>383</v>
      </c>
      <c r="D28" s="3">
        <v>2131.0117283917998</v>
      </c>
      <c r="E28" s="3">
        <v>4054.3239847898499</v>
      </c>
      <c r="F28" s="3">
        <v>4136.4786973755999</v>
      </c>
      <c r="G28" s="3">
        <v>2.0263479902927801</v>
      </c>
      <c r="H28" s="3">
        <v>94.108678158109498</v>
      </c>
      <c r="I28" s="2" t="s">
        <v>384</v>
      </c>
      <c r="J28" s="2" t="s">
        <v>385</v>
      </c>
    </row>
    <row r="29" spans="1:10" x14ac:dyDescent="0.25">
      <c r="A29" s="2" t="s">
        <v>3</v>
      </c>
      <c r="B29" s="2" t="s">
        <v>30</v>
      </c>
      <c r="C29" s="2" t="s">
        <v>388</v>
      </c>
      <c r="D29" s="3">
        <v>2982.6881365000399</v>
      </c>
      <c r="E29" s="3">
        <v>5139.9121409230502</v>
      </c>
      <c r="F29" s="3">
        <v>5345.9909023037198</v>
      </c>
      <c r="G29" s="3">
        <v>4.0093829569556698</v>
      </c>
      <c r="H29" s="3">
        <v>79.233988189487107</v>
      </c>
      <c r="I29" s="2" t="s">
        <v>389</v>
      </c>
      <c r="J29" s="2" t="s">
        <v>390</v>
      </c>
    </row>
    <row r="30" spans="1:10" x14ac:dyDescent="0.25">
      <c r="A30" s="2" t="s">
        <v>3</v>
      </c>
      <c r="B30" s="2" t="s">
        <v>30</v>
      </c>
      <c r="C30" s="2" t="s">
        <v>394</v>
      </c>
      <c r="D30" s="3">
        <v>683.77839588224299</v>
      </c>
      <c r="E30" s="3">
        <v>1251.5236601972099</v>
      </c>
      <c r="F30" s="3">
        <v>1878.0015100273999</v>
      </c>
      <c r="G30" s="3">
        <v>50.057211841402399</v>
      </c>
      <c r="H30" s="3">
        <v>174.65060629830501</v>
      </c>
      <c r="I30" s="2" t="s">
        <v>395</v>
      </c>
      <c r="J30" s="2" t="s">
        <v>396</v>
      </c>
    </row>
    <row r="31" spans="1:10" x14ac:dyDescent="0.25">
      <c r="A31" s="2" t="s">
        <v>3</v>
      </c>
      <c r="B31" s="2" t="s">
        <v>30</v>
      </c>
      <c r="C31" s="2" t="s">
        <v>410</v>
      </c>
      <c r="D31" s="3">
        <v>1370.15959989975</v>
      </c>
      <c r="E31" s="3">
        <v>2146.9874710394402</v>
      </c>
      <c r="F31" s="3">
        <v>2466.7871367873599</v>
      </c>
      <c r="G31" s="3">
        <v>14.8952739623161</v>
      </c>
      <c r="H31" s="3">
        <v>80.036481660082202</v>
      </c>
      <c r="I31" s="2" t="s">
        <v>411</v>
      </c>
      <c r="J31" s="2" t="s">
        <v>412</v>
      </c>
    </row>
    <row r="32" spans="1:10" x14ac:dyDescent="0.25">
      <c r="A32" s="2" t="s">
        <v>3</v>
      </c>
      <c r="B32" s="2" t="s">
        <v>30</v>
      </c>
      <c r="C32" s="2" t="s">
        <v>422</v>
      </c>
      <c r="D32" s="3">
        <v>693.65407366574198</v>
      </c>
      <c r="E32" s="3">
        <v>1507.2059152730801</v>
      </c>
      <c r="F32" s="3">
        <v>1540.046406979</v>
      </c>
      <c r="G32" s="3">
        <v>2.1788988069340798</v>
      </c>
      <c r="H32" s="3">
        <v>122.0193703816</v>
      </c>
      <c r="I32" s="2" t="s">
        <v>423</v>
      </c>
      <c r="J32" s="2" t="s">
        <v>425</v>
      </c>
    </row>
    <row r="33" spans="1:10" x14ac:dyDescent="0.25">
      <c r="A33" s="2" t="s">
        <v>3</v>
      </c>
      <c r="B33" s="2" t="s">
        <v>30</v>
      </c>
      <c r="C33" s="2" t="s">
        <v>437</v>
      </c>
      <c r="D33" s="3">
        <v>694.69086679389602</v>
      </c>
      <c r="E33" s="3">
        <v>1539.65639977825</v>
      </c>
      <c r="F33" s="3">
        <v>1566.20426620695</v>
      </c>
      <c r="G33" s="3">
        <v>1.7242721449098899</v>
      </c>
      <c r="H33" s="3">
        <v>125.453412599941</v>
      </c>
      <c r="I33" s="2" t="s">
        <v>438</v>
      </c>
      <c r="J33" s="2" t="s">
        <v>439</v>
      </c>
    </row>
    <row r="34" spans="1:10" x14ac:dyDescent="0.25">
      <c r="A34" s="2" t="s">
        <v>3</v>
      </c>
      <c r="B34" s="2" t="s">
        <v>30</v>
      </c>
      <c r="C34" s="2" t="s">
        <v>481</v>
      </c>
      <c r="D34" s="3">
        <v>916.69480414695704</v>
      </c>
      <c r="E34" s="3">
        <v>2023.6838751770299</v>
      </c>
      <c r="F34" s="3">
        <v>2042.3536770686101</v>
      </c>
      <c r="G34" s="3">
        <v>0.92256513581917099</v>
      </c>
      <c r="H34" s="3">
        <v>122.795380515891</v>
      </c>
      <c r="I34" s="2" t="s">
        <v>482</v>
      </c>
      <c r="J34" s="2" t="s">
        <v>483</v>
      </c>
    </row>
    <row r="35" spans="1:10" x14ac:dyDescent="0.25">
      <c r="A35" s="2" t="s">
        <v>3</v>
      </c>
      <c r="B35" s="2" t="s">
        <v>30</v>
      </c>
      <c r="C35" s="2" t="s">
        <v>450</v>
      </c>
      <c r="D35" s="3">
        <v>867.18392575172902</v>
      </c>
      <c r="E35" s="3">
        <v>1944.6436738238399</v>
      </c>
      <c r="F35" s="3">
        <v>1959.9827752788501</v>
      </c>
      <c r="G35" s="3">
        <v>0.78878725503734903</v>
      </c>
      <c r="H35" s="3">
        <v>126.01696330796401</v>
      </c>
      <c r="I35" s="2" t="s">
        <v>451</v>
      </c>
      <c r="J35" s="2" t="s">
        <v>452</v>
      </c>
    </row>
    <row r="36" spans="1:10" x14ac:dyDescent="0.25">
      <c r="A36" s="2" t="s">
        <v>3</v>
      </c>
      <c r="B36" s="2" t="s">
        <v>30</v>
      </c>
      <c r="C36" s="2" t="s">
        <v>476</v>
      </c>
      <c r="D36" s="3">
        <v>936.245343338834</v>
      </c>
      <c r="E36" s="3">
        <v>2068.1971206654098</v>
      </c>
      <c r="F36" s="3">
        <v>2104.43470961504</v>
      </c>
      <c r="G36" s="3">
        <v>1.75213419395764</v>
      </c>
      <c r="H36" s="3">
        <v>124.773850635157</v>
      </c>
      <c r="I36" s="2" t="s">
        <v>477</v>
      </c>
      <c r="J36" s="2" t="s">
        <v>478</v>
      </c>
    </row>
    <row r="37" spans="1:10" x14ac:dyDescent="0.25">
      <c r="A37" s="2" t="s">
        <v>3</v>
      </c>
      <c r="B37" s="2" t="s">
        <v>30</v>
      </c>
      <c r="C37" s="2" t="s">
        <v>464</v>
      </c>
      <c r="D37" s="3">
        <v>1137.4028986358601</v>
      </c>
      <c r="E37" s="3">
        <v>2471.2836299822602</v>
      </c>
      <c r="F37" s="3">
        <v>2489.1472970599498</v>
      </c>
      <c r="G37" s="3">
        <v>0.72284973124780605</v>
      </c>
      <c r="H37" s="3">
        <v>118.844817438508</v>
      </c>
      <c r="I37" s="2" t="s">
        <v>465</v>
      </c>
      <c r="J37" s="2" t="s">
        <v>466</v>
      </c>
    </row>
    <row r="38" spans="1:10" x14ac:dyDescent="0.25">
      <c r="A38" s="2" t="s">
        <v>3</v>
      </c>
      <c r="B38" s="2" t="s">
        <v>30</v>
      </c>
      <c r="C38" s="2" t="s">
        <v>503</v>
      </c>
      <c r="D38" s="3">
        <v>490.80301319229602</v>
      </c>
      <c r="E38" s="3">
        <v>898.53186258447499</v>
      </c>
      <c r="F38" s="3">
        <v>942.23834413034206</v>
      </c>
      <c r="G38" s="3">
        <v>4.8642105378602496</v>
      </c>
      <c r="H38" s="3">
        <v>91.978924090503497</v>
      </c>
      <c r="I38" s="2" t="s">
        <v>504</v>
      </c>
      <c r="J38" s="2" t="s">
        <v>505</v>
      </c>
    </row>
    <row r="39" spans="1:10" x14ac:dyDescent="0.25">
      <c r="A39" s="2" t="s">
        <v>3</v>
      </c>
      <c r="B39" s="2" t="s">
        <v>30</v>
      </c>
      <c r="C39" s="2" t="s">
        <v>516</v>
      </c>
      <c r="D39" s="3">
        <v>1979.7690534897599</v>
      </c>
      <c r="E39" s="3">
        <v>3944.3936965902999</v>
      </c>
      <c r="F39" s="3">
        <v>4039.6252556423601</v>
      </c>
      <c r="G39" s="3">
        <v>2.4143522776233799</v>
      </c>
      <c r="H39" s="3">
        <v>104.045277327761</v>
      </c>
      <c r="I39" s="2" t="s">
        <v>517</v>
      </c>
      <c r="J39" s="2" t="s">
        <v>518</v>
      </c>
    </row>
    <row r="40" spans="1:10" x14ac:dyDescent="0.25">
      <c r="A40" s="2" t="s">
        <v>3</v>
      </c>
      <c r="B40" s="2" t="s">
        <v>30</v>
      </c>
      <c r="C40" s="2" t="s">
        <v>556</v>
      </c>
      <c r="D40" s="3">
        <v>2418.1677542453199</v>
      </c>
      <c r="E40" s="3">
        <v>4509.3840576084403</v>
      </c>
      <c r="F40" s="3">
        <v>4626.8186758829997</v>
      </c>
      <c r="G40" s="3">
        <v>2.6042274681930802</v>
      </c>
      <c r="H40" s="3">
        <v>91.335719689429993</v>
      </c>
      <c r="I40" s="2" t="s">
        <v>557</v>
      </c>
      <c r="J40" s="2" t="s">
        <v>558</v>
      </c>
    </row>
    <row r="41" spans="1:10" x14ac:dyDescent="0.25">
      <c r="A41" s="2" t="s">
        <v>3</v>
      </c>
      <c r="B41" s="2" t="s">
        <v>30</v>
      </c>
      <c r="C41" s="2" t="s">
        <v>568</v>
      </c>
      <c r="D41" s="3">
        <v>758.64755468786996</v>
      </c>
      <c r="E41" s="3">
        <v>1465.9858796281101</v>
      </c>
      <c r="F41" s="3">
        <v>1472.17604013204</v>
      </c>
      <c r="G41" s="3">
        <v>0.42225239614847099</v>
      </c>
      <c r="H41" s="3">
        <v>94.052696938795606</v>
      </c>
      <c r="I41" s="2" t="s">
        <v>569</v>
      </c>
      <c r="J41" s="2" t="s">
        <v>570</v>
      </c>
    </row>
    <row r="42" spans="1:10" x14ac:dyDescent="0.25">
      <c r="A42" s="2" t="s">
        <v>3</v>
      </c>
      <c r="B42" s="2" t="s">
        <v>30</v>
      </c>
      <c r="C42" s="2" t="s">
        <v>583</v>
      </c>
      <c r="D42" s="3">
        <v>1610.1836994748801</v>
      </c>
      <c r="E42" s="3">
        <v>2719.1648740973101</v>
      </c>
      <c r="F42" s="3">
        <v>3147.0488937671198</v>
      </c>
      <c r="G42" s="3">
        <v>15.735861541380499</v>
      </c>
      <c r="H42" s="3">
        <v>95.446575120183894</v>
      </c>
      <c r="I42" s="2" t="s">
        <v>584</v>
      </c>
      <c r="J42" s="2" t="s">
        <v>585</v>
      </c>
    </row>
    <row r="43" spans="1:10" x14ac:dyDescent="0.25">
      <c r="A43" s="2" t="s">
        <v>3</v>
      </c>
      <c r="B43" s="2" t="s">
        <v>30</v>
      </c>
      <c r="C43" s="2" t="s">
        <v>603</v>
      </c>
      <c r="D43" s="3">
        <v>1884.62162805663</v>
      </c>
      <c r="E43" s="3">
        <v>3747.8654995332199</v>
      </c>
      <c r="F43" s="3">
        <v>3819.3696006646201</v>
      </c>
      <c r="G43" s="3">
        <v>1.90786198545033</v>
      </c>
      <c r="H43" s="3">
        <v>102.659756409728</v>
      </c>
      <c r="I43" s="2" t="s">
        <v>604</v>
      </c>
      <c r="J43" s="2" t="s">
        <v>605</v>
      </c>
    </row>
    <row r="44" spans="1:10" x14ac:dyDescent="0.25">
      <c r="A44" s="2" t="s">
        <v>3</v>
      </c>
      <c r="B44" s="2" t="s">
        <v>30</v>
      </c>
      <c r="C44" s="2" t="s">
        <v>617</v>
      </c>
      <c r="D44" s="3">
        <v>772.724446855922</v>
      </c>
      <c r="E44" s="3">
        <v>1705.58350433379</v>
      </c>
      <c r="F44" s="3">
        <v>1836.0085445683401</v>
      </c>
      <c r="G44" s="3">
        <v>7.6469454531632204</v>
      </c>
      <c r="H44" s="3">
        <v>137.60197468046101</v>
      </c>
      <c r="I44" s="2" t="s">
        <v>618</v>
      </c>
      <c r="J44" s="2" t="s">
        <v>619</v>
      </c>
    </row>
    <row r="45" spans="1:10" x14ac:dyDescent="0.25">
      <c r="A45" s="2" t="s">
        <v>4</v>
      </c>
      <c r="B45" s="2" t="s">
        <v>35</v>
      </c>
      <c r="C45" s="2" t="s">
        <v>51</v>
      </c>
      <c r="D45" s="3">
        <v>1254.89842158847</v>
      </c>
      <c r="E45" s="3">
        <v>2833.9730241430798</v>
      </c>
      <c r="F45" s="3">
        <v>2866.9150988280699</v>
      </c>
      <c r="G45" s="3">
        <v>1.1623990208923001</v>
      </c>
      <c r="H45" s="3">
        <v>128.45794125703699</v>
      </c>
      <c r="I45" s="2" t="s">
        <v>55</v>
      </c>
      <c r="J45" s="2" t="s">
        <v>56</v>
      </c>
    </row>
    <row r="46" spans="1:10" x14ac:dyDescent="0.25">
      <c r="A46" s="2" t="s">
        <v>4</v>
      </c>
      <c r="B46" s="2" t="s">
        <v>35</v>
      </c>
      <c r="C46" s="2" t="s">
        <v>24</v>
      </c>
      <c r="D46" s="3">
        <v>110.04435753645799</v>
      </c>
      <c r="E46" s="3">
        <v>247.25909993431799</v>
      </c>
      <c r="F46" s="3">
        <v>252.16549790250099</v>
      </c>
      <c r="G46" s="3">
        <v>1.98431441734056</v>
      </c>
      <c r="H46" s="3">
        <v>129.148957336553</v>
      </c>
      <c r="I46" s="2" t="s">
        <v>31</v>
      </c>
      <c r="J46" s="2" t="s">
        <v>33</v>
      </c>
    </row>
    <row r="47" spans="1:10" x14ac:dyDescent="0.25">
      <c r="A47" s="2" t="s">
        <v>4</v>
      </c>
      <c r="B47" s="2" t="s">
        <v>35</v>
      </c>
      <c r="C47" s="2" t="s">
        <v>69</v>
      </c>
      <c r="D47" s="3">
        <v>870.66794542311595</v>
      </c>
      <c r="E47" s="3">
        <v>2720.9608418325402</v>
      </c>
      <c r="F47" s="3">
        <v>2501.3235254572801</v>
      </c>
      <c r="G47" s="3">
        <v>-8.0720498802671692</v>
      </c>
      <c r="H47" s="3">
        <v>187.287884963046</v>
      </c>
      <c r="I47" s="2" t="s">
        <v>72</v>
      </c>
      <c r="J47" s="2" t="s">
        <v>73</v>
      </c>
    </row>
    <row r="48" spans="1:10" x14ac:dyDescent="0.25">
      <c r="A48" s="2" t="s">
        <v>4</v>
      </c>
      <c r="B48" s="2" t="s">
        <v>35</v>
      </c>
      <c r="C48" s="2" t="s">
        <v>87</v>
      </c>
      <c r="D48" s="3">
        <v>829.861926891199</v>
      </c>
      <c r="E48" s="3">
        <v>2546.70254553512</v>
      </c>
      <c r="F48" s="3">
        <v>2319.0422043194098</v>
      </c>
      <c r="G48" s="3">
        <v>-8.9394162508238804</v>
      </c>
      <c r="H48" s="3">
        <v>179.44916246572799</v>
      </c>
      <c r="I48" s="2" t="s">
        <v>90</v>
      </c>
      <c r="J48" s="2" t="s">
        <v>92</v>
      </c>
    </row>
    <row r="49" spans="1:10" x14ac:dyDescent="0.25">
      <c r="A49" s="2" t="s">
        <v>4</v>
      </c>
      <c r="B49" s="2" t="s">
        <v>35</v>
      </c>
      <c r="C49" s="2" t="s">
        <v>101</v>
      </c>
      <c r="D49" s="3">
        <v>2696.8788073791302</v>
      </c>
      <c r="E49" s="3">
        <v>5073.7358123538697</v>
      </c>
      <c r="F49" s="3">
        <v>5153.1848804249303</v>
      </c>
      <c r="G49" s="3">
        <v>1.56588894277091</v>
      </c>
      <c r="H49" s="3">
        <v>91.079586755063104</v>
      </c>
      <c r="I49" s="2" t="s">
        <v>106</v>
      </c>
      <c r="J49" s="2" t="s">
        <v>108</v>
      </c>
    </row>
    <row r="50" spans="1:10" x14ac:dyDescent="0.25">
      <c r="A50" s="2" t="s">
        <v>4</v>
      </c>
      <c r="B50" s="2" t="s">
        <v>35</v>
      </c>
      <c r="C50" s="2" t="s">
        <v>110</v>
      </c>
      <c r="D50" s="3">
        <v>3146.9394335001102</v>
      </c>
      <c r="E50" s="3">
        <v>6001.3163065393501</v>
      </c>
      <c r="F50" s="3">
        <v>6150.1828826503897</v>
      </c>
      <c r="G50" s="3">
        <v>2.48056540444014</v>
      </c>
      <c r="H50" s="3">
        <v>95.433786147259696</v>
      </c>
      <c r="I50" s="2" t="s">
        <v>113</v>
      </c>
      <c r="J50" s="2" t="s">
        <v>114</v>
      </c>
    </row>
    <row r="51" spans="1:10" x14ac:dyDescent="0.25">
      <c r="A51" s="2" t="s">
        <v>4</v>
      </c>
      <c r="B51" s="2" t="s">
        <v>35</v>
      </c>
      <c r="C51" s="2" t="s">
        <v>126</v>
      </c>
      <c r="D51" s="3">
        <v>855.04745804083302</v>
      </c>
      <c r="E51" s="3">
        <v>1588.02666383821</v>
      </c>
      <c r="F51" s="3">
        <v>1610.8261641694201</v>
      </c>
      <c r="G51" s="3">
        <v>1.4357126898679899</v>
      </c>
      <c r="H51" s="3">
        <v>88.390264074967305</v>
      </c>
      <c r="I51" s="2" t="s">
        <v>130</v>
      </c>
      <c r="J51" s="2" t="s">
        <v>131</v>
      </c>
    </row>
    <row r="52" spans="1:10" x14ac:dyDescent="0.25">
      <c r="A52" s="2" t="s">
        <v>4</v>
      </c>
      <c r="B52" s="2" t="s">
        <v>35</v>
      </c>
      <c r="C52" s="2" t="s">
        <v>139</v>
      </c>
      <c r="D52" s="3">
        <v>815.10930657579604</v>
      </c>
      <c r="E52" s="3">
        <v>1486.2466029906</v>
      </c>
      <c r="F52" s="3">
        <v>1512.1275136475199</v>
      </c>
      <c r="G52" s="3">
        <v>1.7413604582736399</v>
      </c>
      <c r="H52" s="3">
        <v>85.512237616305995</v>
      </c>
      <c r="I52" s="2" t="s">
        <v>143</v>
      </c>
      <c r="J52" s="2" t="s">
        <v>144</v>
      </c>
    </row>
    <row r="53" spans="1:10" x14ac:dyDescent="0.25">
      <c r="A53" s="2" t="s">
        <v>4</v>
      </c>
      <c r="B53" s="2" t="s">
        <v>35</v>
      </c>
      <c r="C53" s="2" t="s">
        <v>341</v>
      </c>
      <c r="D53" s="3">
        <v>1002.10066976052</v>
      </c>
      <c r="E53" s="3">
        <v>2485.13886536679</v>
      </c>
      <c r="F53" s="3">
        <v>2512.32651705328</v>
      </c>
      <c r="G53" s="3">
        <v>1.094009355589</v>
      </c>
      <c r="H53" s="3">
        <v>150.706001189847</v>
      </c>
      <c r="I53" s="2" t="s">
        <v>344</v>
      </c>
      <c r="J53" s="2" t="s">
        <v>345</v>
      </c>
    </row>
    <row r="54" spans="1:10" x14ac:dyDescent="0.25">
      <c r="A54" s="2" t="s">
        <v>4</v>
      </c>
      <c r="B54" s="2" t="s">
        <v>35</v>
      </c>
      <c r="C54" s="2" t="s">
        <v>166</v>
      </c>
      <c r="D54" s="3">
        <v>2347.40830920895</v>
      </c>
      <c r="E54" s="3">
        <v>4259.9869529958096</v>
      </c>
      <c r="F54" s="3">
        <v>4347.44455117503</v>
      </c>
      <c r="G54" s="3">
        <v>2.0530015501038599</v>
      </c>
      <c r="H54" s="3">
        <v>85.201889851027403</v>
      </c>
      <c r="I54" s="2" t="s">
        <v>169</v>
      </c>
      <c r="J54" s="2" t="s">
        <v>170</v>
      </c>
    </row>
    <row r="55" spans="1:10" x14ac:dyDescent="0.25">
      <c r="A55" s="2" t="s">
        <v>4</v>
      </c>
      <c r="B55" s="2" t="s">
        <v>35</v>
      </c>
      <c r="C55" s="2" t="s">
        <v>179</v>
      </c>
      <c r="D55" s="3">
        <v>3357.5090443090398</v>
      </c>
      <c r="E55" s="3">
        <v>5787.7444950687704</v>
      </c>
      <c r="F55" s="3">
        <v>6044.0788060269097</v>
      </c>
      <c r="G55" s="3">
        <v>4.4289154639866597</v>
      </c>
      <c r="H55" s="3">
        <v>80.0167542741722</v>
      </c>
      <c r="I55" s="2" t="s">
        <v>183</v>
      </c>
      <c r="J55" s="2" t="s">
        <v>184</v>
      </c>
    </row>
    <row r="56" spans="1:10" x14ac:dyDescent="0.25">
      <c r="A56" s="2" t="s">
        <v>4</v>
      </c>
      <c r="B56" s="2" t="s">
        <v>35</v>
      </c>
      <c r="C56" s="2" t="s">
        <v>186</v>
      </c>
      <c r="D56" s="3">
        <v>2869.4043681471298</v>
      </c>
      <c r="E56" s="3">
        <v>4352.7683447761101</v>
      </c>
      <c r="F56" s="3">
        <v>4475.0963655916903</v>
      </c>
      <c r="G56" s="3">
        <v>2.8103498997916998</v>
      </c>
      <c r="H56" s="3">
        <v>55.959069947377799</v>
      </c>
      <c r="I56" s="2" t="s">
        <v>190</v>
      </c>
      <c r="J56" s="2" t="s">
        <v>191</v>
      </c>
    </row>
    <row r="57" spans="1:10" x14ac:dyDescent="0.25">
      <c r="A57" s="2" t="s">
        <v>4</v>
      </c>
      <c r="B57" s="2" t="s">
        <v>35</v>
      </c>
      <c r="C57" s="2" t="s">
        <v>206</v>
      </c>
      <c r="D57" s="3">
        <v>1950.5385520750101</v>
      </c>
      <c r="E57" s="3">
        <v>3336.7032495405501</v>
      </c>
      <c r="F57" s="3">
        <v>3397.83335015904</v>
      </c>
      <c r="G57" s="3">
        <v>1.83205086118798</v>
      </c>
      <c r="H57" s="3">
        <v>74.199753526757505</v>
      </c>
      <c r="I57" s="2" t="s">
        <v>209</v>
      </c>
      <c r="J57" s="2" t="s">
        <v>210</v>
      </c>
    </row>
    <row r="58" spans="1:10" x14ac:dyDescent="0.25">
      <c r="A58" s="2" t="s">
        <v>4</v>
      </c>
      <c r="B58" s="2" t="s">
        <v>35</v>
      </c>
      <c r="C58" s="2" t="s">
        <v>192</v>
      </c>
      <c r="D58" s="3">
        <v>2264.8681978322202</v>
      </c>
      <c r="E58" s="3">
        <v>4316.4129177333898</v>
      </c>
      <c r="F58" s="3">
        <v>4422.8021562329404</v>
      </c>
      <c r="G58" s="3">
        <v>2.46476045103263</v>
      </c>
      <c r="H58" s="3">
        <v>95.278566782214995</v>
      </c>
      <c r="I58" s="2" t="s">
        <v>196</v>
      </c>
      <c r="J58" s="2" t="s">
        <v>197</v>
      </c>
    </row>
    <row r="59" spans="1:10" x14ac:dyDescent="0.25">
      <c r="A59" s="2" t="s">
        <v>4</v>
      </c>
      <c r="B59" s="2" t="s">
        <v>35</v>
      </c>
      <c r="C59" s="2" t="s">
        <v>237</v>
      </c>
      <c r="D59" s="3">
        <v>2863.9671019673401</v>
      </c>
      <c r="E59" s="3">
        <v>4766.5638775357702</v>
      </c>
      <c r="F59" s="3">
        <v>4908.4226209077997</v>
      </c>
      <c r="G59" s="3">
        <v>2.9761217308047598</v>
      </c>
      <c r="H59" s="3">
        <v>71.385440060958302</v>
      </c>
      <c r="I59" s="2" t="s">
        <v>240</v>
      </c>
      <c r="J59" s="2" t="s">
        <v>241</v>
      </c>
    </row>
    <row r="60" spans="1:10" x14ac:dyDescent="0.25">
      <c r="A60" s="2" t="s">
        <v>4</v>
      </c>
      <c r="B60" s="2" t="s">
        <v>35</v>
      </c>
      <c r="C60" s="2" t="s">
        <v>543</v>
      </c>
      <c r="D60" s="3">
        <v>487.94263253199699</v>
      </c>
      <c r="E60" s="3">
        <v>873.77102001760204</v>
      </c>
      <c r="F60" s="3">
        <v>887.45091137505199</v>
      </c>
      <c r="G60" s="3">
        <v>1.56561513761062</v>
      </c>
      <c r="H60" s="3">
        <v>81.876075630029405</v>
      </c>
      <c r="I60" s="2" t="s">
        <v>253</v>
      </c>
      <c r="J60" s="2" t="s">
        <v>546</v>
      </c>
    </row>
    <row r="61" spans="1:10" x14ac:dyDescent="0.25">
      <c r="A61" s="2" t="s">
        <v>4</v>
      </c>
      <c r="B61" s="2" t="s">
        <v>35</v>
      </c>
      <c r="C61" s="2" t="s">
        <v>529</v>
      </c>
      <c r="D61" s="3">
        <v>542.00222754434299</v>
      </c>
      <c r="E61" s="3">
        <v>991.20399188409101</v>
      </c>
      <c r="F61" s="3">
        <v>1014.7414650661</v>
      </c>
      <c r="G61" s="3">
        <v>2.3746346236228901</v>
      </c>
      <c r="H61" s="3">
        <v>87.220903069643498</v>
      </c>
      <c r="I61" s="2" t="s">
        <v>532</v>
      </c>
      <c r="J61" s="2" t="s">
        <v>533</v>
      </c>
    </row>
    <row r="62" spans="1:10" x14ac:dyDescent="0.25">
      <c r="A62" s="2" t="s">
        <v>4</v>
      </c>
      <c r="B62" s="2" t="s">
        <v>35</v>
      </c>
      <c r="C62" s="2" t="s">
        <v>217</v>
      </c>
      <c r="D62" s="3">
        <v>3771.4072818489899</v>
      </c>
      <c r="E62" s="3">
        <v>6130.51459408545</v>
      </c>
      <c r="F62" s="3">
        <v>6473.80641713777</v>
      </c>
      <c r="G62" s="3">
        <v>5.5997227929858502</v>
      </c>
      <c r="H62" s="3">
        <v>71.654927016100103</v>
      </c>
      <c r="I62" s="2" t="s">
        <v>220</v>
      </c>
      <c r="J62" s="2" t="s">
        <v>221</v>
      </c>
    </row>
    <row r="63" spans="1:10" x14ac:dyDescent="0.25">
      <c r="A63" s="2" t="s">
        <v>4</v>
      </c>
      <c r="B63" s="2" t="s">
        <v>35</v>
      </c>
      <c r="C63" s="2" t="s">
        <v>267</v>
      </c>
      <c r="D63" s="3">
        <v>568.71977329388199</v>
      </c>
      <c r="E63" s="3">
        <v>1205.3885873745801</v>
      </c>
      <c r="F63" s="3">
        <v>1184.7661828727901</v>
      </c>
      <c r="G63" s="3">
        <v>-1.7108511493960401</v>
      </c>
      <c r="H63" s="3">
        <v>108.32160907839101</v>
      </c>
      <c r="I63" s="2" t="s">
        <v>270</v>
      </c>
      <c r="J63" s="2" t="s">
        <v>271</v>
      </c>
    </row>
    <row r="64" spans="1:10" x14ac:dyDescent="0.25">
      <c r="A64" s="2" t="s">
        <v>4</v>
      </c>
      <c r="B64" s="2" t="s">
        <v>35</v>
      </c>
      <c r="C64" s="2" t="s">
        <v>252</v>
      </c>
      <c r="D64" s="3">
        <v>598.75055476099703</v>
      </c>
      <c r="E64" s="3">
        <v>1311.0286836146099</v>
      </c>
      <c r="F64" s="3">
        <v>1296.9267315173299</v>
      </c>
      <c r="G64" s="3">
        <v>-1.0756402414020301</v>
      </c>
      <c r="H64" s="3">
        <v>116.605516471717</v>
      </c>
      <c r="I64" s="2" t="s">
        <v>255</v>
      </c>
      <c r="J64" s="2" t="s">
        <v>256</v>
      </c>
    </row>
    <row r="65" spans="1:10" x14ac:dyDescent="0.25">
      <c r="A65" s="2" t="s">
        <v>4</v>
      </c>
      <c r="B65" s="2" t="s">
        <v>35</v>
      </c>
      <c r="C65" s="2" t="s">
        <v>299</v>
      </c>
      <c r="D65" s="3">
        <v>1806.9530192526399</v>
      </c>
      <c r="E65" s="3">
        <v>3165.3812084810802</v>
      </c>
      <c r="F65" s="3">
        <v>3328.1693203786999</v>
      </c>
      <c r="G65" s="3">
        <v>5.1427648417655796</v>
      </c>
      <c r="H65" s="3">
        <v>84.186820848017703</v>
      </c>
      <c r="I65" s="2" t="s">
        <v>302</v>
      </c>
      <c r="J65" s="2" t="s">
        <v>303</v>
      </c>
    </row>
    <row r="66" spans="1:10" x14ac:dyDescent="0.25">
      <c r="A66" s="2" t="s">
        <v>4</v>
      </c>
      <c r="B66" s="2" t="s">
        <v>35</v>
      </c>
      <c r="C66" s="2" t="s">
        <v>321</v>
      </c>
      <c r="D66" s="3">
        <v>2303.96398816992</v>
      </c>
      <c r="E66" s="3">
        <v>3875.65894324077</v>
      </c>
      <c r="F66" s="3">
        <v>4014.2349042126002</v>
      </c>
      <c r="G66" s="3">
        <v>3.5755458104359699</v>
      </c>
      <c r="H66" s="3">
        <v>74.231668759770201</v>
      </c>
      <c r="I66" s="2" t="s">
        <v>324</v>
      </c>
      <c r="J66" s="2" t="s">
        <v>325</v>
      </c>
    </row>
    <row r="67" spans="1:10" x14ac:dyDescent="0.25">
      <c r="A67" s="2" t="s">
        <v>4</v>
      </c>
      <c r="B67" s="2" t="s">
        <v>35</v>
      </c>
      <c r="C67" s="2" t="s">
        <v>327</v>
      </c>
      <c r="D67" s="3">
        <v>1006.36271682854</v>
      </c>
      <c r="E67" s="3">
        <v>1778.9604773569499</v>
      </c>
      <c r="F67" s="3">
        <v>1818.2876324441499</v>
      </c>
      <c r="G67" s="3">
        <v>2.21068177667639</v>
      </c>
      <c r="H67" s="3">
        <v>80.679152957326593</v>
      </c>
      <c r="I67" s="2" t="s">
        <v>330</v>
      </c>
      <c r="J67" s="2" t="s">
        <v>331</v>
      </c>
    </row>
    <row r="68" spans="1:10" x14ac:dyDescent="0.25">
      <c r="A68" s="2" t="s">
        <v>4</v>
      </c>
      <c r="B68" s="2" t="s">
        <v>35</v>
      </c>
      <c r="C68" s="2" t="s">
        <v>352</v>
      </c>
      <c r="D68" s="3">
        <v>2266.1885965523602</v>
      </c>
      <c r="E68" s="3">
        <v>4203.7597581405698</v>
      </c>
      <c r="F68" s="3">
        <v>4287.6540179701396</v>
      </c>
      <c r="G68" s="3">
        <v>1.9956958688495601</v>
      </c>
      <c r="H68" s="3">
        <v>89.201111703285605</v>
      </c>
      <c r="I68" s="2" t="s">
        <v>355</v>
      </c>
      <c r="J68" s="2" t="s">
        <v>356</v>
      </c>
    </row>
    <row r="69" spans="1:10" x14ac:dyDescent="0.25">
      <c r="A69" s="2" t="s">
        <v>4</v>
      </c>
      <c r="B69" s="2" t="s">
        <v>35</v>
      </c>
      <c r="C69" s="2" t="s">
        <v>366</v>
      </c>
      <c r="D69" s="3">
        <v>577.77147320392305</v>
      </c>
      <c r="E69" s="3">
        <v>1156.9086378729901</v>
      </c>
      <c r="F69" s="3">
        <v>1151.13471287571</v>
      </c>
      <c r="G69" s="3">
        <v>-0.4990821926865</v>
      </c>
      <c r="H69" s="3">
        <v>99.2370281786866</v>
      </c>
      <c r="I69" s="2" t="s">
        <v>369</v>
      </c>
      <c r="J69" s="2" t="s">
        <v>370</v>
      </c>
    </row>
    <row r="70" spans="1:10" x14ac:dyDescent="0.25">
      <c r="A70" s="2" t="s">
        <v>4</v>
      </c>
      <c r="B70" s="2" t="s">
        <v>35</v>
      </c>
      <c r="C70" s="2" t="s">
        <v>379</v>
      </c>
      <c r="D70" s="3">
        <v>589.75422114465005</v>
      </c>
      <c r="E70" s="3">
        <v>1163.2443098946301</v>
      </c>
      <c r="F70" s="3">
        <v>1160.21514057117</v>
      </c>
      <c r="G70" s="3">
        <v>-0.26040697536166602</v>
      </c>
      <c r="H70" s="3">
        <v>96.728586074265905</v>
      </c>
      <c r="I70" s="2" t="s">
        <v>380</v>
      </c>
      <c r="J70" s="2" t="s">
        <v>382</v>
      </c>
    </row>
    <row r="71" spans="1:10" x14ac:dyDescent="0.25">
      <c r="A71" s="2" t="s">
        <v>4</v>
      </c>
      <c r="B71" s="2" t="s">
        <v>35</v>
      </c>
      <c r="C71" s="2" t="s">
        <v>383</v>
      </c>
      <c r="D71" s="3">
        <v>2214.5780727526799</v>
      </c>
      <c r="E71" s="3">
        <v>4136.4786973755999</v>
      </c>
      <c r="F71" s="3">
        <v>4166.67611915425</v>
      </c>
      <c r="G71" s="3">
        <v>0.73002725235381405</v>
      </c>
      <c r="H71" s="3">
        <v>88.147628228574803</v>
      </c>
      <c r="I71" s="2" t="s">
        <v>386</v>
      </c>
      <c r="J71" s="2" t="s">
        <v>387</v>
      </c>
    </row>
    <row r="72" spans="1:10" x14ac:dyDescent="0.25">
      <c r="A72" s="2" t="s">
        <v>4</v>
      </c>
      <c r="B72" s="2" t="s">
        <v>35</v>
      </c>
      <c r="C72" s="2" t="s">
        <v>388</v>
      </c>
      <c r="D72" s="3">
        <v>3137.5041050310001</v>
      </c>
      <c r="E72" s="3">
        <v>5345.9909023037198</v>
      </c>
      <c r="F72" s="3">
        <v>5632.3370938083499</v>
      </c>
      <c r="G72" s="3">
        <v>5.3562790647705603</v>
      </c>
      <c r="H72" s="3">
        <v>79.516485246246603</v>
      </c>
      <c r="I72" s="2" t="s">
        <v>391</v>
      </c>
      <c r="J72" s="2" t="s">
        <v>392</v>
      </c>
    </row>
    <row r="73" spans="1:10" x14ac:dyDescent="0.25">
      <c r="A73" s="2" t="s">
        <v>4</v>
      </c>
      <c r="B73" s="2" t="s">
        <v>35</v>
      </c>
      <c r="C73" s="2" t="s">
        <v>394</v>
      </c>
      <c r="D73" s="3">
        <v>971.85986586491094</v>
      </c>
      <c r="E73" s="3">
        <v>1878.0015100273999</v>
      </c>
      <c r="F73" s="3">
        <v>2057.8108721538001</v>
      </c>
      <c r="G73" s="3">
        <v>9.5745057267699796</v>
      </c>
      <c r="H73" s="3">
        <v>111.739464137913</v>
      </c>
      <c r="I73" s="2" t="s">
        <v>397</v>
      </c>
      <c r="J73" s="2" t="s">
        <v>398</v>
      </c>
    </row>
    <row r="74" spans="1:10" x14ac:dyDescent="0.25">
      <c r="A74" s="2" t="s">
        <v>4</v>
      </c>
      <c r="B74" s="2" t="s">
        <v>35</v>
      </c>
      <c r="C74" s="2" t="s">
        <v>410</v>
      </c>
      <c r="D74" s="3">
        <v>1425.3236823232501</v>
      </c>
      <c r="E74" s="3">
        <v>2466.7871367873599</v>
      </c>
      <c r="F74" s="3">
        <v>2582.3479986950401</v>
      </c>
      <c r="G74" s="3">
        <v>4.68467101130509</v>
      </c>
      <c r="H74" s="3">
        <v>81.176250049101995</v>
      </c>
      <c r="I74" s="2" t="s">
        <v>413</v>
      </c>
      <c r="J74" s="2" t="s">
        <v>414</v>
      </c>
    </row>
    <row r="75" spans="1:10" x14ac:dyDescent="0.25">
      <c r="A75" s="2" t="s">
        <v>4</v>
      </c>
      <c r="B75" s="2" t="s">
        <v>35</v>
      </c>
      <c r="C75" s="2" t="s">
        <v>422</v>
      </c>
      <c r="D75" s="3">
        <v>757.99098278706902</v>
      </c>
      <c r="E75" s="3">
        <v>1540.046406979</v>
      </c>
      <c r="F75" s="3">
        <v>1533.6809681028701</v>
      </c>
      <c r="G75" s="3">
        <v>-0.41332773137807299</v>
      </c>
      <c r="H75" s="3">
        <v>102.33498853293101</v>
      </c>
      <c r="I75" s="2" t="s">
        <v>426</v>
      </c>
      <c r="J75" s="2" t="s">
        <v>427</v>
      </c>
    </row>
    <row r="76" spans="1:10" x14ac:dyDescent="0.25">
      <c r="A76" s="2" t="s">
        <v>4</v>
      </c>
      <c r="B76" s="2" t="s">
        <v>35</v>
      </c>
      <c r="C76" s="2" t="s">
        <v>437</v>
      </c>
      <c r="D76" s="3">
        <v>746.03538560342895</v>
      </c>
      <c r="E76" s="3">
        <v>1566.20426620695</v>
      </c>
      <c r="F76" s="3">
        <v>1550.1513842884699</v>
      </c>
      <c r="G76" s="3">
        <v>-1.0249545518958101</v>
      </c>
      <c r="H76" s="3">
        <v>107.78523568753199</v>
      </c>
      <c r="I76" s="2" t="s">
        <v>440</v>
      </c>
      <c r="J76" s="2" t="s">
        <v>441</v>
      </c>
    </row>
    <row r="77" spans="1:10" x14ac:dyDescent="0.25">
      <c r="A77" s="2" t="s">
        <v>4</v>
      </c>
      <c r="B77" s="2" t="s">
        <v>35</v>
      </c>
      <c r="C77" s="2" t="s">
        <v>481</v>
      </c>
      <c r="D77" s="3">
        <v>972.46153562265397</v>
      </c>
      <c r="E77" s="3">
        <v>2042.3536770686101</v>
      </c>
      <c r="F77" s="3">
        <v>2037.30324925339</v>
      </c>
      <c r="G77" s="3">
        <v>-0.247284682957915</v>
      </c>
      <c r="H77" s="3">
        <v>109.499622825589</v>
      </c>
      <c r="I77" s="2" t="s">
        <v>484</v>
      </c>
      <c r="J77" s="2" t="s">
        <v>485</v>
      </c>
    </row>
    <row r="78" spans="1:10" x14ac:dyDescent="0.25">
      <c r="A78" s="2" t="s">
        <v>4</v>
      </c>
      <c r="B78" s="2" t="s">
        <v>35</v>
      </c>
      <c r="C78" s="2" t="s">
        <v>450</v>
      </c>
      <c r="D78" s="3">
        <v>917.934922489825</v>
      </c>
      <c r="E78" s="3">
        <v>1959.9827752788501</v>
      </c>
      <c r="F78" s="3">
        <v>1944.40389945518</v>
      </c>
      <c r="G78" s="3">
        <v>-0.79484758846685699</v>
      </c>
      <c r="H78" s="3">
        <v>111.823719940967</v>
      </c>
      <c r="I78" s="2" t="s">
        <v>453</v>
      </c>
      <c r="J78" s="2" t="s">
        <v>454</v>
      </c>
    </row>
    <row r="79" spans="1:10" x14ac:dyDescent="0.25">
      <c r="A79" s="2" t="s">
        <v>4</v>
      </c>
      <c r="B79" s="2" t="s">
        <v>35</v>
      </c>
      <c r="C79" s="2" t="s">
        <v>476</v>
      </c>
      <c r="D79" s="3">
        <v>991.08314386853704</v>
      </c>
      <c r="E79" s="3">
        <v>2104.43470961504</v>
      </c>
      <c r="F79" s="3">
        <v>2092.3905788274701</v>
      </c>
      <c r="G79" s="3">
        <v>-0.57232142829324495</v>
      </c>
      <c r="H79" s="3">
        <v>111.121598805541</v>
      </c>
      <c r="I79" s="2" t="s">
        <v>479</v>
      </c>
      <c r="J79" s="2" t="s">
        <v>480</v>
      </c>
    </row>
    <row r="80" spans="1:10" x14ac:dyDescent="0.25">
      <c r="A80" s="2" t="s">
        <v>4</v>
      </c>
      <c r="B80" s="2" t="s">
        <v>35</v>
      </c>
      <c r="C80" s="2" t="s">
        <v>464</v>
      </c>
      <c r="D80" s="3">
        <v>1226.2930354790799</v>
      </c>
      <c r="E80" s="3">
        <v>2489.1472970599498</v>
      </c>
      <c r="F80" s="3">
        <v>2520.7757247703398</v>
      </c>
      <c r="G80" s="3">
        <v>1.2706531167416799</v>
      </c>
      <c r="H80" s="3">
        <v>105.560632886213</v>
      </c>
      <c r="I80" s="2" t="s">
        <v>467</v>
      </c>
      <c r="J80" s="2" t="s">
        <v>468</v>
      </c>
    </row>
    <row r="81" spans="1:10" x14ac:dyDescent="0.25">
      <c r="A81" s="2" t="s">
        <v>4</v>
      </c>
      <c r="B81" s="2" t="s">
        <v>35</v>
      </c>
      <c r="C81" s="2" t="s">
        <v>503</v>
      </c>
      <c r="D81" s="3">
        <v>551.92333314861503</v>
      </c>
      <c r="E81" s="3">
        <v>942.23834413034206</v>
      </c>
      <c r="F81" s="3">
        <v>930.78900812666495</v>
      </c>
      <c r="G81" s="3">
        <v>-1.2151210014960601</v>
      </c>
      <c r="H81" s="3">
        <v>68.644620044725201</v>
      </c>
      <c r="I81" s="2" t="s">
        <v>506</v>
      </c>
      <c r="J81" s="2" t="s">
        <v>505</v>
      </c>
    </row>
    <row r="82" spans="1:10" x14ac:dyDescent="0.25">
      <c r="A82" s="2" t="s">
        <v>4</v>
      </c>
      <c r="B82" s="2" t="s">
        <v>35</v>
      </c>
      <c r="C82" s="2" t="s">
        <v>516</v>
      </c>
      <c r="D82" s="3">
        <v>2059.5320241415802</v>
      </c>
      <c r="E82" s="3">
        <v>4039.6252556423601</v>
      </c>
      <c r="F82" s="3">
        <v>4106.7161954740204</v>
      </c>
      <c r="G82" s="3">
        <v>1.66082088277745</v>
      </c>
      <c r="H82" s="3">
        <v>99.400453468826598</v>
      </c>
      <c r="I82" s="2" t="s">
        <v>519</v>
      </c>
      <c r="J82" s="2" t="s">
        <v>520</v>
      </c>
    </row>
    <row r="83" spans="1:10" x14ac:dyDescent="0.25">
      <c r="A83" s="2" t="s">
        <v>4</v>
      </c>
      <c r="B83" s="2" t="s">
        <v>35</v>
      </c>
      <c r="C83" s="2" t="s">
        <v>556</v>
      </c>
      <c r="D83" s="3">
        <v>2512.1637998229799</v>
      </c>
      <c r="E83" s="3">
        <v>4626.8186758829997</v>
      </c>
      <c r="F83" s="3">
        <v>4725.1654426294299</v>
      </c>
      <c r="G83" s="3">
        <v>2.12558074209938</v>
      </c>
      <c r="H83" s="3">
        <v>88.091454982449093</v>
      </c>
      <c r="I83" s="2" t="s">
        <v>559</v>
      </c>
      <c r="J83" s="2" t="s">
        <v>560</v>
      </c>
    </row>
    <row r="84" spans="1:10" x14ac:dyDescent="0.25">
      <c r="A84" s="2" t="s">
        <v>4</v>
      </c>
      <c r="B84" s="2" t="s">
        <v>35</v>
      </c>
      <c r="C84" s="2" t="s">
        <v>568</v>
      </c>
      <c r="D84" s="3">
        <v>814.15970058142102</v>
      </c>
      <c r="E84" s="3">
        <v>1472.17604013204</v>
      </c>
      <c r="F84" s="3">
        <v>1453.4956678575099</v>
      </c>
      <c r="G84" s="3">
        <v>-1.2688952791846899</v>
      </c>
      <c r="H84" s="3">
        <v>78.527095706102799</v>
      </c>
      <c r="I84" s="2" t="s">
        <v>571</v>
      </c>
      <c r="J84" s="2" t="s">
        <v>572</v>
      </c>
    </row>
    <row r="85" spans="1:10" x14ac:dyDescent="0.25">
      <c r="A85" s="2" t="s">
        <v>4</v>
      </c>
      <c r="B85" s="2" t="s">
        <v>35</v>
      </c>
      <c r="C85" s="2" t="s">
        <v>583</v>
      </c>
      <c r="D85" s="3">
        <v>1709.5508213953501</v>
      </c>
      <c r="E85" s="3">
        <v>3147.0488937671198</v>
      </c>
      <c r="F85" s="3">
        <v>3362.8340562642102</v>
      </c>
      <c r="G85" s="3">
        <v>6.8567464243870697</v>
      </c>
      <c r="H85" s="3">
        <v>96.708633295817606</v>
      </c>
      <c r="I85" s="2" t="s">
        <v>300</v>
      </c>
      <c r="J85" s="2" t="s">
        <v>586</v>
      </c>
    </row>
    <row r="86" spans="1:10" x14ac:dyDescent="0.25">
      <c r="A86" s="2" t="s">
        <v>4</v>
      </c>
      <c r="B86" s="2" t="s">
        <v>35</v>
      </c>
      <c r="C86" s="2" t="s">
        <v>603</v>
      </c>
      <c r="D86" s="3">
        <v>1976.59186959985</v>
      </c>
      <c r="E86" s="3">
        <v>3819.3696006646201</v>
      </c>
      <c r="F86" s="3">
        <v>3871.4754362969402</v>
      </c>
      <c r="G86" s="3">
        <v>1.3642522478907</v>
      </c>
      <c r="H86" s="3">
        <v>95.866202620811904</v>
      </c>
      <c r="I86" s="2" t="s">
        <v>606</v>
      </c>
      <c r="J86" s="2" t="s">
        <v>607</v>
      </c>
    </row>
    <row r="87" spans="1:10" x14ac:dyDescent="0.25">
      <c r="A87" s="2" t="s">
        <v>4</v>
      </c>
      <c r="B87" s="2" t="s">
        <v>35</v>
      </c>
      <c r="C87" s="2" t="s">
        <v>617</v>
      </c>
      <c r="D87" s="3">
        <v>818.91853200374499</v>
      </c>
      <c r="E87" s="3">
        <v>1836.0085445683401</v>
      </c>
      <c r="F87" s="3">
        <v>1905.90097860793</v>
      </c>
      <c r="G87" s="3">
        <v>3.80675973684103</v>
      </c>
      <c r="H87" s="3">
        <v>132.73389282625399</v>
      </c>
      <c r="I87" s="2" t="s">
        <v>620</v>
      </c>
      <c r="J87" s="2" t="s">
        <v>621</v>
      </c>
    </row>
    <row r="88" spans="1:10" x14ac:dyDescent="0.25">
      <c r="A88" s="2" t="s">
        <v>5</v>
      </c>
      <c r="B88" s="2" t="s">
        <v>40</v>
      </c>
      <c r="C88" s="2" t="s">
        <v>1</v>
      </c>
      <c r="D88" s="3">
        <v>116.41</v>
      </c>
      <c r="E88" s="3">
        <v>252.16549790250099</v>
      </c>
      <c r="F88" s="3">
        <v>248.04139052252299</v>
      </c>
      <c r="G88" s="3">
        <v>-1.63547646854262</v>
      </c>
      <c r="H88" s="3">
        <v>113.075672641975</v>
      </c>
      <c r="I88" s="2" t="s">
        <v>36</v>
      </c>
      <c r="J88" s="2" t="s">
        <v>38</v>
      </c>
    </row>
    <row r="89" spans="1:10" x14ac:dyDescent="0.25">
      <c r="A89" s="2" t="s">
        <v>5</v>
      </c>
      <c r="B89" s="2" t="s">
        <v>40</v>
      </c>
      <c r="C89" s="2" t="s">
        <v>50</v>
      </c>
      <c r="D89" s="3"/>
      <c r="E89" s="3"/>
      <c r="F89" s="3">
        <v>5878.1406466216204</v>
      </c>
      <c r="G89" s="3"/>
      <c r="H89" s="3"/>
      <c r="I89" s="2" t="s">
        <v>57</v>
      </c>
      <c r="J89" s="2" t="s">
        <v>58</v>
      </c>
    </row>
    <row r="90" spans="1:10" x14ac:dyDescent="0.25">
      <c r="A90" s="2" t="s">
        <v>5</v>
      </c>
      <c r="B90" s="2" t="s">
        <v>40</v>
      </c>
      <c r="C90" s="2" t="s">
        <v>68</v>
      </c>
      <c r="D90" s="3">
        <v>976.58407104610899</v>
      </c>
      <c r="E90" s="3">
        <v>2501.3235254572801</v>
      </c>
      <c r="F90" s="3">
        <v>2458.53328829572</v>
      </c>
      <c r="G90" s="3">
        <v>-1.71070382243884</v>
      </c>
      <c r="H90" s="3">
        <v>151.74824791706499</v>
      </c>
      <c r="I90" s="2" t="s">
        <v>75</v>
      </c>
      <c r="J90" s="2" t="s">
        <v>77</v>
      </c>
    </row>
    <row r="91" spans="1:10" x14ac:dyDescent="0.25">
      <c r="A91" s="2" t="s">
        <v>5</v>
      </c>
      <c r="B91" s="2" t="s">
        <v>40</v>
      </c>
      <c r="C91" s="2" t="s">
        <v>86</v>
      </c>
      <c r="D91" s="3">
        <v>921.37822431816505</v>
      </c>
      <c r="E91" s="3">
        <v>2319.0422043194098</v>
      </c>
      <c r="F91" s="3">
        <v>2123.8529942048899</v>
      </c>
      <c r="G91" s="3">
        <v>-8.4168028400241699</v>
      </c>
      <c r="H91" s="3">
        <v>130.50826882484401</v>
      </c>
      <c r="I91" s="2" t="s">
        <v>93</v>
      </c>
      <c r="J91" s="2" t="s">
        <v>94</v>
      </c>
    </row>
    <row r="92" spans="1:10" x14ac:dyDescent="0.25">
      <c r="A92" s="2" t="s">
        <v>5</v>
      </c>
      <c r="B92" s="2" t="s">
        <v>40</v>
      </c>
      <c r="C92" s="2" t="s">
        <v>109</v>
      </c>
      <c r="D92" s="3">
        <v>3315.7811060455301</v>
      </c>
      <c r="E92" s="3">
        <v>6150.1828826503897</v>
      </c>
      <c r="F92" s="3">
        <v>6122.5682943123202</v>
      </c>
      <c r="G92" s="3">
        <v>-0.44900434450441001</v>
      </c>
      <c r="H92" s="3">
        <v>84.649351042784104</v>
      </c>
      <c r="I92" s="2" t="s">
        <v>115</v>
      </c>
      <c r="J92" s="2" t="s">
        <v>117</v>
      </c>
    </row>
    <row r="93" spans="1:10" x14ac:dyDescent="0.25">
      <c r="A93" s="2" t="s">
        <v>5</v>
      </c>
      <c r="B93" s="2" t="s">
        <v>40</v>
      </c>
      <c r="C93" s="2" t="s">
        <v>125</v>
      </c>
      <c r="D93" s="3"/>
      <c r="E93" s="3"/>
      <c r="F93" s="3">
        <v>1604.7842497597601</v>
      </c>
      <c r="G93" s="3"/>
      <c r="H93" s="3"/>
      <c r="I93" s="2" t="s">
        <v>132</v>
      </c>
      <c r="J93" s="2" t="s">
        <v>134</v>
      </c>
    </row>
    <row r="94" spans="1:10" x14ac:dyDescent="0.25">
      <c r="A94" s="2" t="s">
        <v>5</v>
      </c>
      <c r="B94" s="2" t="s">
        <v>40</v>
      </c>
      <c r="C94" s="2" t="s">
        <v>138</v>
      </c>
      <c r="D94" s="3"/>
      <c r="E94" s="3"/>
      <c r="F94" s="3">
        <v>1452.9829733163899</v>
      </c>
      <c r="G94" s="3"/>
      <c r="H94" s="3"/>
      <c r="I94" s="2" t="s">
        <v>145</v>
      </c>
      <c r="J94" s="2" t="s">
        <v>146</v>
      </c>
    </row>
    <row r="95" spans="1:10" x14ac:dyDescent="0.25">
      <c r="A95" s="2" t="s">
        <v>5</v>
      </c>
      <c r="B95" s="2" t="s">
        <v>40</v>
      </c>
      <c r="C95" s="2" t="s">
        <v>153</v>
      </c>
      <c r="D95" s="3"/>
      <c r="E95" s="3"/>
      <c r="F95" s="3">
        <v>1787.16145133333</v>
      </c>
      <c r="G95" s="3"/>
      <c r="H95" s="3"/>
      <c r="I95" s="2" t="s">
        <v>155</v>
      </c>
      <c r="J95" s="2" t="s">
        <v>157</v>
      </c>
    </row>
    <row r="96" spans="1:10" x14ac:dyDescent="0.25">
      <c r="A96" s="2" t="s">
        <v>5</v>
      </c>
      <c r="B96" s="2" t="s">
        <v>40</v>
      </c>
      <c r="C96" s="2" t="s">
        <v>165</v>
      </c>
      <c r="D96" s="3">
        <v>2497.3741247641401</v>
      </c>
      <c r="E96" s="3">
        <v>4347.44455117503</v>
      </c>
      <c r="F96" s="3">
        <v>5226.8705778404701</v>
      </c>
      <c r="G96" s="3">
        <v>20.228573735983399</v>
      </c>
      <c r="H96" s="3">
        <v>109.294655775058</v>
      </c>
      <c r="I96" s="2" t="s">
        <v>172</v>
      </c>
      <c r="J96" s="2" t="s">
        <v>174</v>
      </c>
    </row>
    <row r="97" spans="1:10" x14ac:dyDescent="0.25">
      <c r="A97" s="2" t="s">
        <v>5</v>
      </c>
      <c r="B97" s="2" t="s">
        <v>40</v>
      </c>
      <c r="C97" s="2" t="s">
        <v>205</v>
      </c>
      <c r="D97" s="3">
        <v>2052.1003035521198</v>
      </c>
      <c r="E97" s="3">
        <v>3397.83335015904</v>
      </c>
      <c r="F97" s="3">
        <v>3293.6295746176602</v>
      </c>
      <c r="G97" s="3">
        <v>-3.0667712275090402</v>
      </c>
      <c r="H97" s="3">
        <v>60.500418469627803</v>
      </c>
      <c r="I97" s="2" t="s">
        <v>211</v>
      </c>
      <c r="J97" s="2" t="s">
        <v>212</v>
      </c>
    </row>
    <row r="98" spans="1:10" x14ac:dyDescent="0.25">
      <c r="A98" s="2" t="s">
        <v>5</v>
      </c>
      <c r="B98" s="2" t="s">
        <v>40</v>
      </c>
      <c r="C98" s="2" t="s">
        <v>216</v>
      </c>
      <c r="D98" s="3">
        <v>4007.5773169253198</v>
      </c>
      <c r="E98" s="3">
        <v>6473.80641713777</v>
      </c>
      <c r="F98" s="3">
        <v>5497.0311353705501</v>
      </c>
      <c r="G98" s="3">
        <v>-15.088113836420201</v>
      </c>
      <c r="H98" s="3">
        <v>37.1659409328118</v>
      </c>
      <c r="I98" s="2" t="s">
        <v>222</v>
      </c>
      <c r="J98" s="2" t="s">
        <v>223</v>
      </c>
    </row>
    <row r="99" spans="1:10" x14ac:dyDescent="0.25">
      <c r="A99" s="2" t="s">
        <v>5</v>
      </c>
      <c r="B99" s="2" t="s">
        <v>40</v>
      </c>
      <c r="C99" s="2" t="s">
        <v>192</v>
      </c>
      <c r="D99" s="3">
        <v>2506.80920841854</v>
      </c>
      <c r="E99" s="3">
        <v>4422.8021562329404</v>
      </c>
      <c r="F99" s="3">
        <v>4340.1077806622197</v>
      </c>
      <c r="G99" s="3">
        <v>-1.8697281191784501</v>
      </c>
      <c r="H99" s="3">
        <v>73.132752428344801</v>
      </c>
      <c r="I99" s="2" t="s">
        <v>198</v>
      </c>
      <c r="J99" s="2" t="s">
        <v>199</v>
      </c>
    </row>
    <row r="100" spans="1:10" x14ac:dyDescent="0.25">
      <c r="A100" s="2" t="s">
        <v>5</v>
      </c>
      <c r="B100" s="2" t="s">
        <v>40</v>
      </c>
      <c r="C100" s="2" t="s">
        <v>230</v>
      </c>
      <c r="D100" s="3"/>
      <c r="E100" s="3"/>
      <c r="F100" s="3">
        <v>6227.0407199211704</v>
      </c>
      <c r="G100" s="3"/>
      <c r="H100" s="3"/>
      <c r="I100" s="2" t="s">
        <v>231</v>
      </c>
      <c r="J100" s="2" t="s">
        <v>232</v>
      </c>
    </row>
    <row r="101" spans="1:10" x14ac:dyDescent="0.25">
      <c r="A101" s="2" t="s">
        <v>5</v>
      </c>
      <c r="B101" s="2" t="s">
        <v>40</v>
      </c>
      <c r="C101" s="2" t="s">
        <v>242</v>
      </c>
      <c r="D101" s="3"/>
      <c r="E101" s="3"/>
      <c r="F101" s="3">
        <v>6131.9801153648596</v>
      </c>
      <c r="G101" s="3"/>
      <c r="H101" s="3"/>
      <c r="I101" s="2" t="s">
        <v>243</v>
      </c>
      <c r="J101" s="2" t="s">
        <v>244</v>
      </c>
    </row>
    <row r="102" spans="1:10" x14ac:dyDescent="0.25">
      <c r="A102" s="2" t="s">
        <v>5</v>
      </c>
      <c r="B102" s="2" t="s">
        <v>40</v>
      </c>
      <c r="C102" s="2" t="s">
        <v>266</v>
      </c>
      <c r="D102" s="3">
        <v>600.68719578202194</v>
      </c>
      <c r="E102" s="3">
        <v>1184.7661828727901</v>
      </c>
      <c r="F102" s="3">
        <v>1267.6348809931201</v>
      </c>
      <c r="G102" s="3">
        <v>6.9945191986648503</v>
      </c>
      <c r="H102" s="3">
        <v>111.030781061149</v>
      </c>
      <c r="I102" s="2" t="s">
        <v>272</v>
      </c>
      <c r="J102" s="2" t="s">
        <v>273</v>
      </c>
    </row>
    <row r="103" spans="1:10" x14ac:dyDescent="0.25">
      <c r="A103" s="2" t="s">
        <v>5</v>
      </c>
      <c r="B103" s="2" t="s">
        <v>40</v>
      </c>
      <c r="C103" s="2" t="s">
        <v>251</v>
      </c>
      <c r="D103" s="3">
        <v>624.21265890879499</v>
      </c>
      <c r="E103" s="3">
        <v>1296.9267315173299</v>
      </c>
      <c r="F103" s="3">
        <v>1358.95841842142</v>
      </c>
      <c r="G103" s="3">
        <v>4.78297542926863</v>
      </c>
      <c r="H103" s="3">
        <v>117.707603174382</v>
      </c>
      <c r="I103" s="2" t="s">
        <v>257</v>
      </c>
      <c r="J103" s="2" t="s">
        <v>258</v>
      </c>
    </row>
    <row r="104" spans="1:10" x14ac:dyDescent="0.25">
      <c r="A104" s="2" t="s">
        <v>5</v>
      </c>
      <c r="B104" s="2" t="s">
        <v>40</v>
      </c>
      <c r="C104" s="2" t="s">
        <v>280</v>
      </c>
      <c r="D104" s="3"/>
      <c r="E104" s="3"/>
      <c r="F104" s="3">
        <v>4206.7995489414398</v>
      </c>
      <c r="G104" s="3"/>
      <c r="H104" s="3"/>
      <c r="I104" s="2" t="s">
        <v>281</v>
      </c>
      <c r="J104" s="2" t="s">
        <v>282</v>
      </c>
    </row>
    <row r="105" spans="1:10" x14ac:dyDescent="0.25">
      <c r="A105" s="2" t="s">
        <v>5</v>
      </c>
      <c r="B105" s="2" t="s">
        <v>40</v>
      </c>
      <c r="C105" s="2" t="s">
        <v>289</v>
      </c>
      <c r="D105" s="3"/>
      <c r="E105" s="3"/>
      <c r="F105" s="3">
        <v>6202.3575047263503</v>
      </c>
      <c r="G105" s="3"/>
      <c r="H105" s="3"/>
      <c r="I105" s="2" t="s">
        <v>290</v>
      </c>
      <c r="J105" s="2" t="s">
        <v>291</v>
      </c>
    </row>
    <row r="106" spans="1:10" x14ac:dyDescent="0.25">
      <c r="A106" s="2" t="s">
        <v>5</v>
      </c>
      <c r="B106" s="2" t="s">
        <v>40</v>
      </c>
      <c r="C106" s="2" t="s">
        <v>298</v>
      </c>
      <c r="D106" s="3"/>
      <c r="E106" s="3"/>
      <c r="F106" s="3">
        <v>2939.7346322297299</v>
      </c>
      <c r="G106" s="3"/>
      <c r="H106" s="3"/>
      <c r="I106" s="2" t="s">
        <v>304</v>
      </c>
      <c r="J106" s="2" t="s">
        <v>305</v>
      </c>
    </row>
    <row r="107" spans="1:10" x14ac:dyDescent="0.25">
      <c r="A107" s="2" t="s">
        <v>5</v>
      </c>
      <c r="B107" s="2" t="s">
        <v>40</v>
      </c>
      <c r="C107" s="2" t="s">
        <v>311</v>
      </c>
      <c r="D107" s="3"/>
      <c r="E107" s="3"/>
      <c r="F107" s="3">
        <v>2387.7568033521402</v>
      </c>
      <c r="G107" s="3"/>
      <c r="H107" s="3"/>
      <c r="I107" s="2" t="s">
        <v>312</v>
      </c>
      <c r="J107" s="2" t="s">
        <v>313</v>
      </c>
    </row>
    <row r="108" spans="1:10" x14ac:dyDescent="0.25">
      <c r="A108" s="2" t="s">
        <v>5</v>
      </c>
      <c r="B108" s="2" t="s">
        <v>40</v>
      </c>
      <c r="C108" s="2" t="s">
        <v>326</v>
      </c>
      <c r="D108" s="3">
        <v>1051.76843687203</v>
      </c>
      <c r="E108" s="3">
        <v>1818.2876324441499</v>
      </c>
      <c r="F108" s="3">
        <v>1790.91087652799</v>
      </c>
      <c r="G108" s="3">
        <v>-1.5056339507387799</v>
      </c>
      <c r="H108" s="3">
        <v>70.276157160046395</v>
      </c>
      <c r="I108" s="2" t="s">
        <v>332</v>
      </c>
      <c r="J108" s="2" t="s">
        <v>333</v>
      </c>
    </row>
    <row r="109" spans="1:10" x14ac:dyDescent="0.25">
      <c r="A109" s="2" t="s">
        <v>5</v>
      </c>
      <c r="B109" s="2" t="s">
        <v>40</v>
      </c>
      <c r="C109" s="2" t="s">
        <v>340</v>
      </c>
      <c r="D109" s="3"/>
      <c r="E109" s="3"/>
      <c r="F109" s="3">
        <v>2508.1549602219002</v>
      </c>
      <c r="G109" s="3"/>
      <c r="H109" s="3"/>
      <c r="I109" s="2" t="s">
        <v>346</v>
      </c>
      <c r="J109" s="2" t="s">
        <v>347</v>
      </c>
    </row>
    <row r="110" spans="1:10" x14ac:dyDescent="0.25">
      <c r="A110" s="2" t="s">
        <v>5</v>
      </c>
      <c r="B110" s="2" t="s">
        <v>40</v>
      </c>
      <c r="C110" s="2" t="s">
        <v>351</v>
      </c>
      <c r="D110" s="3">
        <v>2457.9634949297101</v>
      </c>
      <c r="E110" s="3">
        <v>4287.6540179701396</v>
      </c>
      <c r="F110" s="3">
        <v>5117.8059351929396</v>
      </c>
      <c r="G110" s="3">
        <v>19.3614483291684</v>
      </c>
      <c r="H110" s="3">
        <v>108.21326052034399</v>
      </c>
      <c r="I110" s="2" t="s">
        <v>357</v>
      </c>
      <c r="J110" s="2" t="s">
        <v>358</v>
      </c>
    </row>
    <row r="111" spans="1:10" x14ac:dyDescent="0.25">
      <c r="A111" s="2" t="s">
        <v>5</v>
      </c>
      <c r="B111" s="2" t="s">
        <v>40</v>
      </c>
      <c r="C111" s="2" t="s">
        <v>365</v>
      </c>
      <c r="D111" s="3">
        <v>633.91205304567404</v>
      </c>
      <c r="E111" s="3">
        <v>1151.13471287571</v>
      </c>
      <c r="F111" s="3">
        <v>1168.3379724972699</v>
      </c>
      <c r="G111" s="3">
        <v>1.4944610243380601</v>
      </c>
      <c r="H111" s="3">
        <v>84.306003787734596</v>
      </c>
      <c r="I111" s="2" t="s">
        <v>371</v>
      </c>
      <c r="J111" s="2" t="s">
        <v>372</v>
      </c>
    </row>
    <row r="112" spans="1:10" x14ac:dyDescent="0.25">
      <c r="A112" s="2" t="s">
        <v>5</v>
      </c>
      <c r="B112" s="2" t="s">
        <v>40</v>
      </c>
      <c r="C112" s="2" t="s">
        <v>399</v>
      </c>
      <c r="D112" s="3">
        <v>881.197653226022</v>
      </c>
      <c r="E112" s="3">
        <v>2057.8108721538001</v>
      </c>
      <c r="F112" s="3">
        <v>1367.6215629373401</v>
      </c>
      <c r="G112" s="3">
        <v>-33.539977777164601</v>
      </c>
      <c r="H112" s="3">
        <v>55.200318331596101</v>
      </c>
      <c r="I112" s="2" t="s">
        <v>400</v>
      </c>
      <c r="J112" s="2" t="s">
        <v>402</v>
      </c>
    </row>
    <row r="113" spans="1:10" x14ac:dyDescent="0.25">
      <c r="A113" s="2" t="s">
        <v>5</v>
      </c>
      <c r="B113" s="2" t="s">
        <v>40</v>
      </c>
      <c r="C113" s="2" t="s">
        <v>409</v>
      </c>
      <c r="D113" s="3">
        <v>1456.72275395834</v>
      </c>
      <c r="E113" s="3">
        <v>2582.3479986950401</v>
      </c>
      <c r="F113" s="3">
        <v>2329.5428046950301</v>
      </c>
      <c r="G113" s="3">
        <v>-9.7897415115142703</v>
      </c>
      <c r="H113" s="3">
        <v>59.916689594158299</v>
      </c>
      <c r="I113" s="2" t="s">
        <v>415</v>
      </c>
      <c r="J113" s="2" t="s">
        <v>416</v>
      </c>
    </row>
    <row r="114" spans="1:10" x14ac:dyDescent="0.25">
      <c r="A114" s="2" t="s">
        <v>5</v>
      </c>
      <c r="B114" s="2" t="s">
        <v>40</v>
      </c>
      <c r="C114" s="2" t="s">
        <v>421</v>
      </c>
      <c r="D114" s="3">
        <v>810.666978789479</v>
      </c>
      <c r="E114" s="3">
        <v>1533.6809681028701</v>
      </c>
      <c r="F114" s="3">
        <v>1876.0258662337501</v>
      </c>
      <c r="G114" s="3">
        <v>22.321780425713399</v>
      </c>
      <c r="H114" s="3">
        <v>131.41757531990501</v>
      </c>
      <c r="I114" s="2" t="s">
        <v>428</v>
      </c>
      <c r="J114" s="2" t="s">
        <v>429</v>
      </c>
    </row>
    <row r="115" spans="1:10" x14ac:dyDescent="0.25">
      <c r="A115" s="2" t="s">
        <v>5</v>
      </c>
      <c r="B115" s="2" t="s">
        <v>40</v>
      </c>
      <c r="C115" s="2" t="s">
        <v>436</v>
      </c>
      <c r="D115" s="3">
        <v>811.94516660819102</v>
      </c>
      <c r="E115" s="3">
        <v>1550.1513842884699</v>
      </c>
      <c r="F115" s="3">
        <v>2119.0689292685602</v>
      </c>
      <c r="G115" s="3">
        <v>36.700773275844803</v>
      </c>
      <c r="H115" s="3">
        <v>160.98670408012001</v>
      </c>
      <c r="I115" s="2" t="s">
        <v>442</v>
      </c>
      <c r="J115" s="2" t="s">
        <v>443</v>
      </c>
    </row>
    <row r="116" spans="1:10" x14ac:dyDescent="0.25">
      <c r="A116" s="2" t="s">
        <v>5</v>
      </c>
      <c r="B116" s="2" t="s">
        <v>40</v>
      </c>
      <c r="C116" s="2" t="s">
        <v>449</v>
      </c>
      <c r="D116" s="3">
        <v>1021.78569428834</v>
      </c>
      <c r="E116" s="3">
        <v>1944.40389945518</v>
      </c>
      <c r="F116" s="3">
        <v>2067.99782298932</v>
      </c>
      <c r="G116" s="3">
        <v>6.3563914662364498</v>
      </c>
      <c r="H116" s="3">
        <v>102.39056335875399</v>
      </c>
      <c r="I116" s="2" t="s">
        <v>455</v>
      </c>
      <c r="J116" s="2" t="s">
        <v>456</v>
      </c>
    </row>
    <row r="117" spans="1:10" x14ac:dyDescent="0.25">
      <c r="A117" s="2" t="s">
        <v>5</v>
      </c>
      <c r="B117" s="2" t="s">
        <v>40</v>
      </c>
      <c r="C117" s="2" t="s">
        <v>463</v>
      </c>
      <c r="D117" s="3">
        <v>1322.0056067155599</v>
      </c>
      <c r="E117" s="3">
        <v>2520.7757247703398</v>
      </c>
      <c r="F117" s="3">
        <v>2505.47939908644</v>
      </c>
      <c r="G117" s="3">
        <v>-0.60681025819106604</v>
      </c>
      <c r="H117" s="3">
        <v>89.521087229815606</v>
      </c>
      <c r="I117" s="2" t="s">
        <v>469</v>
      </c>
      <c r="J117" s="2" t="s">
        <v>470</v>
      </c>
    </row>
    <row r="118" spans="1:10" x14ac:dyDescent="0.25">
      <c r="A118" s="2" t="s">
        <v>5</v>
      </c>
      <c r="B118" s="2" t="s">
        <v>40</v>
      </c>
      <c r="C118" s="2" t="s">
        <v>486</v>
      </c>
      <c r="D118" s="3"/>
      <c r="E118" s="3"/>
      <c r="F118" s="3">
        <v>2072.0011794684701</v>
      </c>
      <c r="G118" s="3"/>
      <c r="H118" s="3"/>
      <c r="I118" s="2" t="s">
        <v>487</v>
      </c>
      <c r="J118" s="2" t="s">
        <v>488</v>
      </c>
    </row>
    <row r="119" spans="1:10" x14ac:dyDescent="0.25">
      <c r="A119" s="2" t="s">
        <v>5</v>
      </c>
      <c r="B119" s="2" t="s">
        <v>40</v>
      </c>
      <c r="C119" s="2" t="s">
        <v>494</v>
      </c>
      <c r="D119" s="3"/>
      <c r="E119" s="3"/>
      <c r="F119" s="3">
        <v>5407.6326790166704</v>
      </c>
      <c r="G119" s="3"/>
      <c r="H119" s="3"/>
      <c r="I119" s="2" t="s">
        <v>495</v>
      </c>
      <c r="J119" s="2" t="s">
        <v>496</v>
      </c>
    </row>
    <row r="120" spans="1:10" x14ac:dyDescent="0.25">
      <c r="A120" s="2" t="s">
        <v>5</v>
      </c>
      <c r="B120" s="2" t="s">
        <v>40</v>
      </c>
      <c r="C120" s="2" t="s">
        <v>507</v>
      </c>
      <c r="D120" s="3">
        <v>615.472583483883</v>
      </c>
      <c r="E120" s="3">
        <v>930.78900812666495</v>
      </c>
      <c r="F120" s="3">
        <v>852.51531154864904</v>
      </c>
      <c r="G120" s="3">
        <v>-8.4093920205989807</v>
      </c>
      <c r="H120" s="3">
        <v>38.513937813929097</v>
      </c>
      <c r="I120" s="2" t="s">
        <v>380</v>
      </c>
      <c r="J120" s="2" t="s">
        <v>508</v>
      </c>
    </row>
    <row r="121" spans="1:10" x14ac:dyDescent="0.25">
      <c r="A121" s="2" t="s">
        <v>5</v>
      </c>
      <c r="B121" s="2" t="s">
        <v>40</v>
      </c>
      <c r="C121" s="2" t="s">
        <v>515</v>
      </c>
      <c r="D121" s="3">
        <v>2214.4284135726998</v>
      </c>
      <c r="E121" s="3">
        <v>4106.7161954740204</v>
      </c>
      <c r="F121" s="3">
        <v>5065.3631911843804</v>
      </c>
      <c r="G121" s="3">
        <v>23.343395308564698</v>
      </c>
      <c r="H121" s="3">
        <v>128.74359632208899</v>
      </c>
      <c r="I121" s="2" t="s">
        <v>521</v>
      </c>
      <c r="J121" s="2" t="s">
        <v>522</v>
      </c>
    </row>
    <row r="122" spans="1:10" x14ac:dyDescent="0.25">
      <c r="A122" s="2" t="s">
        <v>5</v>
      </c>
      <c r="B122" s="2" t="s">
        <v>40</v>
      </c>
      <c r="C122" s="2" t="s">
        <v>528</v>
      </c>
      <c r="D122" s="3">
        <v>575.78306237246795</v>
      </c>
      <c r="E122" s="3">
        <v>1014.7414650661</v>
      </c>
      <c r="F122" s="3">
        <v>928.00162815407703</v>
      </c>
      <c r="G122" s="3">
        <v>-8.5479740306439105</v>
      </c>
      <c r="H122" s="3">
        <v>61.172095672686297</v>
      </c>
      <c r="I122" s="2" t="s">
        <v>534</v>
      </c>
      <c r="J122" s="2" t="s">
        <v>535</v>
      </c>
    </row>
    <row r="123" spans="1:10" x14ac:dyDescent="0.25">
      <c r="A123" s="2" t="s">
        <v>5</v>
      </c>
      <c r="B123" s="2" t="s">
        <v>40</v>
      </c>
      <c r="C123" s="2" t="s">
        <v>542</v>
      </c>
      <c r="D123" s="3"/>
      <c r="E123" s="3"/>
      <c r="F123" s="3">
        <v>837.23255124624598</v>
      </c>
      <c r="G123" s="3"/>
      <c r="H123" s="3"/>
      <c r="I123" s="2" t="s">
        <v>547</v>
      </c>
      <c r="J123" s="2" t="s">
        <v>548</v>
      </c>
    </row>
    <row r="124" spans="1:10" x14ac:dyDescent="0.25">
      <c r="A124" s="2" t="s">
        <v>5</v>
      </c>
      <c r="B124" s="2" t="s">
        <v>40</v>
      </c>
      <c r="C124" s="2" t="s">
        <v>555</v>
      </c>
      <c r="D124" s="3">
        <v>2628.5079693409898</v>
      </c>
      <c r="E124" s="3">
        <v>4725.1654426294299</v>
      </c>
      <c r="F124" s="3">
        <v>5467.23134462281</v>
      </c>
      <c r="G124" s="3">
        <v>15.7045485709055</v>
      </c>
      <c r="H124" s="3">
        <v>107.997518302885</v>
      </c>
      <c r="I124" s="2" t="s">
        <v>561</v>
      </c>
      <c r="J124" s="2" t="s">
        <v>562</v>
      </c>
    </row>
    <row r="125" spans="1:10" x14ac:dyDescent="0.25">
      <c r="A125" s="2" t="s">
        <v>5</v>
      </c>
      <c r="B125" s="2" t="s">
        <v>40</v>
      </c>
      <c r="C125" s="2" t="s">
        <v>573</v>
      </c>
      <c r="D125" s="3">
        <v>845.25823994735697</v>
      </c>
      <c r="E125" s="3">
        <v>1453.4956678575099</v>
      </c>
      <c r="F125" s="3">
        <v>1081.43913597703</v>
      </c>
      <c r="G125" s="3">
        <v>-25.5973609077835</v>
      </c>
      <c r="H125" s="3">
        <v>27.9418626009939</v>
      </c>
      <c r="I125" s="2" t="s">
        <v>574</v>
      </c>
      <c r="J125" s="2" t="s">
        <v>575</v>
      </c>
    </row>
    <row r="126" spans="1:10" x14ac:dyDescent="0.25">
      <c r="A126" s="2" t="s">
        <v>5</v>
      </c>
      <c r="B126" s="2" t="s">
        <v>40</v>
      </c>
      <c r="C126" s="2" t="s">
        <v>582</v>
      </c>
      <c r="D126" s="3">
        <v>1782.77151199184</v>
      </c>
      <c r="E126" s="3">
        <v>3362.8340562642102</v>
      </c>
      <c r="F126" s="3">
        <v>2975.9619234909901</v>
      </c>
      <c r="G126" s="3">
        <v>-11.5043480082689</v>
      </c>
      <c r="H126" s="3">
        <v>66.928958841508404</v>
      </c>
      <c r="I126" s="2" t="s">
        <v>587</v>
      </c>
      <c r="J126" s="2" t="s">
        <v>369</v>
      </c>
    </row>
    <row r="127" spans="1:10" x14ac:dyDescent="0.25">
      <c r="A127" s="2" t="s">
        <v>5</v>
      </c>
      <c r="B127" s="2" t="s">
        <v>40</v>
      </c>
      <c r="C127" s="2" t="s">
        <v>593</v>
      </c>
      <c r="D127" s="3"/>
      <c r="E127" s="3"/>
      <c r="F127" s="3">
        <v>1850.8432699560799</v>
      </c>
      <c r="G127" s="3"/>
      <c r="H127" s="3"/>
      <c r="I127" s="2" t="s">
        <v>594</v>
      </c>
      <c r="J127" s="2" t="s">
        <v>595</v>
      </c>
    </row>
    <row r="128" spans="1:10" x14ac:dyDescent="0.25">
      <c r="A128" s="2" t="s">
        <v>5</v>
      </c>
      <c r="B128" s="2" t="s">
        <v>40</v>
      </c>
      <c r="C128" s="2" t="s">
        <v>602</v>
      </c>
      <c r="D128" s="3">
        <v>2042.9839571345101</v>
      </c>
      <c r="E128" s="3">
        <v>3871.4754362969402</v>
      </c>
      <c r="F128" s="3">
        <v>3847.3656922479099</v>
      </c>
      <c r="G128" s="3">
        <v>-0.62275337776870299</v>
      </c>
      <c r="H128" s="3">
        <v>88.320895952811696</v>
      </c>
      <c r="I128" s="2" t="s">
        <v>608</v>
      </c>
      <c r="J128" s="2" t="s">
        <v>609</v>
      </c>
    </row>
    <row r="129" spans="1:10" x14ac:dyDescent="0.25">
      <c r="A129" s="2" t="s">
        <v>5</v>
      </c>
      <c r="B129" s="2" t="s">
        <v>40</v>
      </c>
      <c r="C129" s="2" t="s">
        <v>616</v>
      </c>
      <c r="D129" s="3">
        <v>901.94204572569595</v>
      </c>
      <c r="E129" s="3">
        <v>1905.90097860793</v>
      </c>
      <c r="F129" s="3">
        <v>1991.3299394697301</v>
      </c>
      <c r="G129" s="3">
        <v>4.4823399442399801</v>
      </c>
      <c r="H129" s="3">
        <v>120.78247143557</v>
      </c>
      <c r="I129" s="2" t="s">
        <v>622</v>
      </c>
      <c r="J129" s="2" t="s">
        <v>623</v>
      </c>
    </row>
    <row r="130" spans="1:10" x14ac:dyDescent="0.25">
      <c r="A130" s="2" t="s">
        <v>6</v>
      </c>
      <c r="B130" s="2" t="s">
        <v>42</v>
      </c>
      <c r="C130" s="2" t="s">
        <v>41</v>
      </c>
      <c r="D130" s="3">
        <v>139.280212289887</v>
      </c>
      <c r="E130" s="3">
        <v>248.04139052252299</v>
      </c>
      <c r="F130" s="3">
        <v>251.94051654054101</v>
      </c>
      <c r="G130" s="3">
        <v>1.57196587626128</v>
      </c>
      <c r="H130" s="3">
        <v>80.887516179378096</v>
      </c>
      <c r="I130" s="2" t="s">
        <v>36</v>
      </c>
      <c r="J130" s="2" t="s">
        <v>38</v>
      </c>
    </row>
    <row r="131" spans="1:10" x14ac:dyDescent="0.25">
      <c r="A131" s="2" t="s">
        <v>6</v>
      </c>
      <c r="B131" s="2" t="s">
        <v>42</v>
      </c>
      <c r="C131" s="2" t="s">
        <v>50</v>
      </c>
      <c r="D131" s="3"/>
      <c r="E131" s="3">
        <v>5878.1406466216204</v>
      </c>
      <c r="F131" s="3">
        <v>5976.1158515450497</v>
      </c>
      <c r="G131" s="3">
        <v>1.66677204261407</v>
      </c>
      <c r="H131" s="3"/>
      <c r="I131" s="2" t="s">
        <v>60</v>
      </c>
      <c r="J131" s="2" t="s">
        <v>61</v>
      </c>
    </row>
    <row r="132" spans="1:10" x14ac:dyDescent="0.25">
      <c r="A132" s="2" t="s">
        <v>6</v>
      </c>
      <c r="B132" s="2" t="s">
        <v>42</v>
      </c>
      <c r="C132" s="2" t="s">
        <v>68</v>
      </c>
      <c r="D132" s="3">
        <v>1177.9257979919901</v>
      </c>
      <c r="E132" s="3">
        <v>2458.53328829572</v>
      </c>
      <c r="F132" s="3">
        <v>2465.9627716485402</v>
      </c>
      <c r="G132" s="3">
        <v>0.30219169242862598</v>
      </c>
      <c r="H132" s="3">
        <v>109.347887265248</v>
      </c>
      <c r="I132" s="2" t="s">
        <v>79</v>
      </c>
      <c r="J132" s="2" t="s">
        <v>81</v>
      </c>
    </row>
    <row r="133" spans="1:10" x14ac:dyDescent="0.25">
      <c r="A133" s="2" t="s">
        <v>6</v>
      </c>
      <c r="B133" s="2" t="s">
        <v>42</v>
      </c>
      <c r="C133" s="2" t="s">
        <v>86</v>
      </c>
      <c r="D133" s="3">
        <v>1156.82214217098</v>
      </c>
      <c r="E133" s="3">
        <v>2123.8529942048899</v>
      </c>
      <c r="F133" s="3">
        <v>2114.3292357077398</v>
      </c>
      <c r="G133" s="3">
        <v>-0.44841891237925502</v>
      </c>
      <c r="H133" s="3">
        <v>82.770467354629602</v>
      </c>
      <c r="I133" s="2" t="s">
        <v>95</v>
      </c>
      <c r="J133" s="2" t="s">
        <v>96</v>
      </c>
    </row>
    <row r="134" spans="1:10" x14ac:dyDescent="0.25">
      <c r="A134" s="2" t="s">
        <v>6</v>
      </c>
      <c r="B134" s="2" t="s">
        <v>42</v>
      </c>
      <c r="C134" s="2" t="s">
        <v>109</v>
      </c>
      <c r="D134" s="3">
        <v>3654.5612252640499</v>
      </c>
      <c r="E134" s="3">
        <v>6122.5682943123202</v>
      </c>
      <c r="F134" s="3">
        <v>6269.45881945785</v>
      </c>
      <c r="G134" s="3">
        <v>2.3991651556093498</v>
      </c>
      <c r="H134" s="3">
        <v>71.551615447484195</v>
      </c>
      <c r="I134" s="2" t="s">
        <v>119</v>
      </c>
      <c r="J134" s="2" t="s">
        <v>120</v>
      </c>
    </row>
    <row r="135" spans="1:10" x14ac:dyDescent="0.25">
      <c r="A135" s="2" t="s">
        <v>6</v>
      </c>
      <c r="B135" s="2" t="s">
        <v>42</v>
      </c>
      <c r="C135" s="2" t="s">
        <v>125</v>
      </c>
      <c r="D135" s="3"/>
      <c r="E135" s="3">
        <v>1604.7842497597601</v>
      </c>
      <c r="F135" s="3">
        <v>1633.18538583033</v>
      </c>
      <c r="G135" s="3">
        <v>1.76977908867328</v>
      </c>
      <c r="H135" s="3"/>
      <c r="I135" s="2" t="s">
        <v>132</v>
      </c>
      <c r="J135" s="2" t="s">
        <v>136</v>
      </c>
    </row>
    <row r="136" spans="1:10" x14ac:dyDescent="0.25">
      <c r="A136" s="2" t="s">
        <v>6</v>
      </c>
      <c r="B136" s="2" t="s">
        <v>42</v>
      </c>
      <c r="C136" s="2" t="s">
        <v>138</v>
      </c>
      <c r="D136" s="3"/>
      <c r="E136" s="3">
        <v>1452.9829733163899</v>
      </c>
      <c r="F136" s="3">
        <v>1497.4271531464999</v>
      </c>
      <c r="G136" s="3">
        <v>3.0588231690474101</v>
      </c>
      <c r="H136" s="3"/>
      <c r="I136" s="2" t="s">
        <v>147</v>
      </c>
      <c r="J136" s="2" t="s">
        <v>146</v>
      </c>
    </row>
    <row r="137" spans="1:10" x14ac:dyDescent="0.25">
      <c r="A137" s="2" t="s">
        <v>6</v>
      </c>
      <c r="B137" s="2" t="s">
        <v>42</v>
      </c>
      <c r="C137" s="2" t="s">
        <v>153</v>
      </c>
      <c r="D137" s="3"/>
      <c r="E137" s="3">
        <v>1787.16145133333</v>
      </c>
      <c r="F137" s="3">
        <v>1838.5928269118201</v>
      </c>
      <c r="G137" s="3">
        <v>2.8778248064896501</v>
      </c>
      <c r="H137" s="3"/>
      <c r="I137" s="2" t="s">
        <v>158</v>
      </c>
      <c r="J137" s="2" t="s">
        <v>159</v>
      </c>
    </row>
    <row r="138" spans="1:10" x14ac:dyDescent="0.25">
      <c r="A138" s="2" t="s">
        <v>6</v>
      </c>
      <c r="B138" s="2" t="s">
        <v>42</v>
      </c>
      <c r="C138" s="2" t="s">
        <v>165</v>
      </c>
      <c r="D138" s="3">
        <v>2758.3787226341501</v>
      </c>
      <c r="E138" s="3">
        <v>5226.8705778404701</v>
      </c>
      <c r="F138" s="3">
        <v>5284.3595413749999</v>
      </c>
      <c r="G138" s="3">
        <v>1.0998734841123099</v>
      </c>
      <c r="H138" s="3">
        <v>91.574836987164403</v>
      </c>
      <c r="I138" s="2" t="s">
        <v>172</v>
      </c>
      <c r="J138" s="2" t="s">
        <v>175</v>
      </c>
    </row>
    <row r="139" spans="1:10" x14ac:dyDescent="0.25">
      <c r="A139" s="2" t="s">
        <v>6</v>
      </c>
      <c r="B139" s="2" t="s">
        <v>42</v>
      </c>
      <c r="C139" s="2" t="s">
        <v>205</v>
      </c>
      <c r="D139" s="3">
        <v>2313.4976797709301</v>
      </c>
      <c r="E139" s="3">
        <v>3293.6295746176602</v>
      </c>
      <c r="F139" s="3">
        <v>3346.6242356636099</v>
      </c>
      <c r="G139" s="3">
        <v>1.60900489400373</v>
      </c>
      <c r="H139" s="3">
        <v>44.656476854343403</v>
      </c>
      <c r="I139" s="2" t="s">
        <v>211</v>
      </c>
      <c r="J139" s="2" t="s">
        <v>213</v>
      </c>
    </row>
    <row r="140" spans="1:10" x14ac:dyDescent="0.25">
      <c r="A140" s="2" t="s">
        <v>6</v>
      </c>
      <c r="B140" s="2" t="s">
        <v>42</v>
      </c>
      <c r="C140" s="2" t="s">
        <v>216</v>
      </c>
      <c r="D140" s="3">
        <v>4370.7821115981196</v>
      </c>
      <c r="E140" s="3">
        <v>5497.0311353705501</v>
      </c>
      <c r="F140" s="3">
        <v>5552.7027027026998</v>
      </c>
      <c r="G140" s="3">
        <v>1.0127569948428601</v>
      </c>
      <c r="H140" s="3">
        <v>27.041398105119299</v>
      </c>
      <c r="I140" s="2" t="s">
        <v>224</v>
      </c>
      <c r="J140" s="2" t="s">
        <v>225</v>
      </c>
    </row>
    <row r="141" spans="1:10" x14ac:dyDescent="0.25">
      <c r="A141" s="2" t="s">
        <v>6</v>
      </c>
      <c r="B141" s="2" t="s">
        <v>42</v>
      </c>
      <c r="C141" s="2" t="s">
        <v>192</v>
      </c>
      <c r="D141" s="3">
        <v>2751.9041571856501</v>
      </c>
      <c r="E141" s="3">
        <v>4340.1077806622197</v>
      </c>
      <c r="F141" s="3">
        <v>4394.4053790468497</v>
      </c>
      <c r="G141" s="3">
        <v>1.25106566769033</v>
      </c>
      <c r="H141" s="3">
        <v>59.685989338413698</v>
      </c>
      <c r="I141" s="2" t="s">
        <v>200</v>
      </c>
      <c r="J141" s="2" t="s">
        <v>201</v>
      </c>
    </row>
    <row r="142" spans="1:10" x14ac:dyDescent="0.25">
      <c r="A142" s="2" t="s">
        <v>6</v>
      </c>
      <c r="B142" s="2" t="s">
        <v>42</v>
      </c>
      <c r="C142" s="2" t="s">
        <v>230</v>
      </c>
      <c r="D142" s="3"/>
      <c r="E142" s="3">
        <v>6227.0407199211704</v>
      </c>
      <c r="F142" s="3">
        <v>6440.4410828017999</v>
      </c>
      <c r="G142" s="3">
        <v>3.4269948195124802</v>
      </c>
      <c r="H142" s="3"/>
      <c r="I142" s="2" t="s">
        <v>233</v>
      </c>
      <c r="J142" s="2" t="s">
        <v>234</v>
      </c>
    </row>
    <row r="143" spans="1:10" x14ac:dyDescent="0.25">
      <c r="A143" s="2" t="s">
        <v>6</v>
      </c>
      <c r="B143" s="2" t="s">
        <v>42</v>
      </c>
      <c r="C143" s="2" t="s">
        <v>242</v>
      </c>
      <c r="D143" s="3"/>
      <c r="E143" s="3">
        <v>6131.9801153648596</v>
      </c>
      <c r="F143" s="3">
        <v>6160.0213093243201</v>
      </c>
      <c r="G143" s="3">
        <v>0.45729427414805102</v>
      </c>
      <c r="H143" s="3"/>
      <c r="I143" s="2" t="s">
        <v>245</v>
      </c>
      <c r="J143" s="2" t="s">
        <v>246</v>
      </c>
    </row>
    <row r="144" spans="1:10" x14ac:dyDescent="0.25">
      <c r="A144" s="2" t="s">
        <v>6</v>
      </c>
      <c r="B144" s="2" t="s">
        <v>42</v>
      </c>
      <c r="C144" s="2" t="s">
        <v>266</v>
      </c>
      <c r="D144" s="3">
        <v>723.44894482869699</v>
      </c>
      <c r="E144" s="3">
        <v>1267.6348809931201</v>
      </c>
      <c r="F144" s="3">
        <v>1277.24707039035</v>
      </c>
      <c r="G144" s="3">
        <v>0.75827744576593703</v>
      </c>
      <c r="H144" s="3">
        <v>76.549717781782505</v>
      </c>
      <c r="I144" s="2" t="s">
        <v>274</v>
      </c>
      <c r="J144" s="2" t="s">
        <v>275</v>
      </c>
    </row>
    <row r="145" spans="1:10" x14ac:dyDescent="0.25">
      <c r="A145" s="2" t="s">
        <v>6</v>
      </c>
      <c r="B145" s="2" t="s">
        <v>42</v>
      </c>
      <c r="C145" s="2" t="s">
        <v>251</v>
      </c>
      <c r="D145" s="3">
        <v>753.56404775216402</v>
      </c>
      <c r="E145" s="3">
        <v>1358.95841842142</v>
      </c>
      <c r="F145" s="3">
        <v>1378.1547063621399</v>
      </c>
      <c r="G145" s="3">
        <v>1.4125736064111301</v>
      </c>
      <c r="H145" s="3">
        <v>82.884880253124095</v>
      </c>
      <c r="I145" s="2" t="s">
        <v>259</v>
      </c>
      <c r="J145" s="2" t="s">
        <v>260</v>
      </c>
    </row>
    <row r="146" spans="1:10" x14ac:dyDescent="0.25">
      <c r="A146" s="2" t="s">
        <v>6</v>
      </c>
      <c r="B146" s="2" t="s">
        <v>42</v>
      </c>
      <c r="C146" s="2" t="s">
        <v>280</v>
      </c>
      <c r="D146" s="3"/>
      <c r="E146" s="3">
        <v>4206.7995489414398</v>
      </c>
      <c r="F146" s="3">
        <v>4371.8969465991004</v>
      </c>
      <c r="G146" s="3">
        <v>3.9245368298853598</v>
      </c>
      <c r="H146" s="3"/>
      <c r="I146" s="2" t="s">
        <v>283</v>
      </c>
      <c r="J146" s="2" t="s">
        <v>284</v>
      </c>
    </row>
    <row r="147" spans="1:10" x14ac:dyDescent="0.25">
      <c r="A147" s="2" t="s">
        <v>6</v>
      </c>
      <c r="B147" s="2" t="s">
        <v>42</v>
      </c>
      <c r="C147" s="2" t="s">
        <v>289</v>
      </c>
      <c r="D147" s="3"/>
      <c r="E147" s="3">
        <v>6202.3575047263503</v>
      </c>
      <c r="F147" s="3">
        <v>6298.8933956085602</v>
      </c>
      <c r="G147" s="3">
        <v>1.5564386736599001</v>
      </c>
      <c r="H147" s="3"/>
      <c r="I147" s="2" t="s">
        <v>292</v>
      </c>
      <c r="J147" s="2" t="s">
        <v>293</v>
      </c>
    </row>
    <row r="148" spans="1:10" x14ac:dyDescent="0.25">
      <c r="A148" s="2" t="s">
        <v>6</v>
      </c>
      <c r="B148" s="2" t="s">
        <v>42</v>
      </c>
      <c r="C148" s="2" t="s">
        <v>298</v>
      </c>
      <c r="D148" s="3"/>
      <c r="E148" s="3">
        <v>2939.7346322297299</v>
      </c>
      <c r="F148" s="3">
        <v>3039.8294761126099</v>
      </c>
      <c r="G148" s="3">
        <v>3.4048938562513298</v>
      </c>
      <c r="H148" s="3"/>
      <c r="I148" s="2" t="s">
        <v>304</v>
      </c>
      <c r="J148" s="2" t="s">
        <v>306</v>
      </c>
    </row>
    <row r="149" spans="1:10" x14ac:dyDescent="0.25">
      <c r="A149" s="2" t="s">
        <v>6</v>
      </c>
      <c r="B149" s="2" t="s">
        <v>42</v>
      </c>
      <c r="C149" s="2" t="s">
        <v>311</v>
      </c>
      <c r="D149" s="3"/>
      <c r="E149" s="3">
        <v>2387.7568033521402</v>
      </c>
      <c r="F149" s="3">
        <v>2392.4710545135099</v>
      </c>
      <c r="G149" s="3">
        <v>0.19743430967339801</v>
      </c>
      <c r="H149" s="3"/>
      <c r="I149" s="2" t="s">
        <v>314</v>
      </c>
      <c r="J149" s="2" t="s">
        <v>315</v>
      </c>
    </row>
    <row r="150" spans="1:10" x14ac:dyDescent="0.25">
      <c r="A150" s="2" t="s">
        <v>6</v>
      </c>
      <c r="B150" s="2" t="s">
        <v>42</v>
      </c>
      <c r="C150" s="2" t="s">
        <v>326</v>
      </c>
      <c r="D150" s="3">
        <v>1130.6297085106501</v>
      </c>
      <c r="E150" s="3">
        <v>1790.91087652799</v>
      </c>
      <c r="F150" s="3">
        <v>1756.40726696976</v>
      </c>
      <c r="G150" s="3">
        <v>-1.9265955671185</v>
      </c>
      <c r="H150" s="3">
        <v>55.347701705399899</v>
      </c>
      <c r="I150" s="2" t="s">
        <v>334</v>
      </c>
      <c r="J150" s="2" t="s">
        <v>335</v>
      </c>
    </row>
    <row r="151" spans="1:10" x14ac:dyDescent="0.25">
      <c r="A151" s="2" t="s">
        <v>6</v>
      </c>
      <c r="B151" s="2" t="s">
        <v>42</v>
      </c>
      <c r="C151" s="2" t="s">
        <v>340</v>
      </c>
      <c r="D151" s="3"/>
      <c r="E151" s="3">
        <v>2508.1549602219002</v>
      </c>
      <c r="F151" s="3">
        <v>2564.95182040297</v>
      </c>
      <c r="G151" s="3">
        <v>2.2644876844467698</v>
      </c>
      <c r="H151" s="3"/>
      <c r="I151" s="2" t="s">
        <v>346</v>
      </c>
      <c r="J151" s="2" t="s">
        <v>347</v>
      </c>
    </row>
    <row r="152" spans="1:10" x14ac:dyDescent="0.25">
      <c r="A152" s="2" t="s">
        <v>6</v>
      </c>
      <c r="B152" s="2" t="s">
        <v>42</v>
      </c>
      <c r="C152" s="2" t="s">
        <v>351</v>
      </c>
      <c r="D152" s="3">
        <v>2711.7727629978699</v>
      </c>
      <c r="E152" s="3">
        <v>5117.8059351929396</v>
      </c>
      <c r="F152" s="3">
        <v>5233.1514442468497</v>
      </c>
      <c r="G152" s="3">
        <v>2.2538077940924302</v>
      </c>
      <c r="H152" s="3">
        <v>92.978980969688394</v>
      </c>
      <c r="I152" s="2" t="s">
        <v>359</v>
      </c>
      <c r="J152" s="2" t="s">
        <v>360</v>
      </c>
    </row>
    <row r="153" spans="1:10" x14ac:dyDescent="0.25">
      <c r="A153" s="2" t="s">
        <v>6</v>
      </c>
      <c r="B153" s="2" t="s">
        <v>42</v>
      </c>
      <c r="C153" s="2" t="s">
        <v>365</v>
      </c>
      <c r="D153" s="3">
        <v>729.45168631838499</v>
      </c>
      <c r="E153" s="3">
        <v>1168.3379724972699</v>
      </c>
      <c r="F153" s="3">
        <v>1169.3210112602201</v>
      </c>
      <c r="G153" s="3">
        <v>8.4139930918228301E-2</v>
      </c>
      <c r="H153" s="3">
        <v>60.301365147552801</v>
      </c>
      <c r="I153" s="2" t="s">
        <v>373</v>
      </c>
      <c r="J153" s="2" t="s">
        <v>374</v>
      </c>
    </row>
    <row r="154" spans="1:10" x14ac:dyDescent="0.25">
      <c r="A154" s="2" t="s">
        <v>6</v>
      </c>
      <c r="B154" s="2" t="s">
        <v>42</v>
      </c>
      <c r="C154" s="2" t="s">
        <v>399</v>
      </c>
      <c r="D154" s="3">
        <v>915.60983823951597</v>
      </c>
      <c r="E154" s="3">
        <v>1367.6215629373401</v>
      </c>
      <c r="F154" s="3">
        <v>1372.0419025966901</v>
      </c>
      <c r="G154" s="3">
        <v>0.32321365640453398</v>
      </c>
      <c r="H154" s="3">
        <v>49.850061160851297</v>
      </c>
      <c r="I154" s="2" t="s">
        <v>403</v>
      </c>
      <c r="J154" s="2" t="s">
        <v>404</v>
      </c>
    </row>
    <row r="155" spans="1:10" x14ac:dyDescent="0.25">
      <c r="A155" s="2" t="s">
        <v>6</v>
      </c>
      <c r="B155" s="2" t="s">
        <v>42</v>
      </c>
      <c r="C155" s="2" t="s">
        <v>409</v>
      </c>
      <c r="D155" s="3">
        <v>1561.45940476185</v>
      </c>
      <c r="E155" s="3">
        <v>2329.5428046950301</v>
      </c>
      <c r="F155" s="3">
        <v>2384.1511140866301</v>
      </c>
      <c r="G155" s="3">
        <v>2.3441642403621898</v>
      </c>
      <c r="H155" s="3">
        <v>52.687358173762</v>
      </c>
      <c r="I155" s="2" t="s">
        <v>415</v>
      </c>
      <c r="J155" s="2" t="s">
        <v>343</v>
      </c>
    </row>
    <row r="156" spans="1:10" x14ac:dyDescent="0.25">
      <c r="A156" s="2" t="s">
        <v>6</v>
      </c>
      <c r="B156" s="2" t="s">
        <v>42</v>
      </c>
      <c r="C156" s="2" t="s">
        <v>421</v>
      </c>
      <c r="D156" s="3">
        <v>846.50059620485001</v>
      </c>
      <c r="E156" s="3">
        <v>1876.0258662337501</v>
      </c>
      <c r="F156" s="3">
        <v>1914.4990136459401</v>
      </c>
      <c r="G156" s="3">
        <v>2.0507791552699701</v>
      </c>
      <c r="H156" s="3">
        <v>126.16629240774201</v>
      </c>
      <c r="I156" s="2" t="s">
        <v>431</v>
      </c>
      <c r="J156" s="2" t="s">
        <v>432</v>
      </c>
    </row>
    <row r="157" spans="1:10" x14ac:dyDescent="0.25">
      <c r="A157" s="2" t="s">
        <v>6</v>
      </c>
      <c r="B157" s="2" t="s">
        <v>42</v>
      </c>
      <c r="C157" s="2" t="s">
        <v>436</v>
      </c>
      <c r="D157" s="3">
        <v>858.99191316903102</v>
      </c>
      <c r="E157" s="3">
        <v>2119.0689292685602</v>
      </c>
      <c r="F157" s="3">
        <v>2127.6712684252502</v>
      </c>
      <c r="G157" s="3">
        <v>0.40594900136923401</v>
      </c>
      <c r="H157" s="3">
        <v>147.69398125946799</v>
      </c>
      <c r="I157" s="2" t="s">
        <v>444</v>
      </c>
      <c r="J157" s="2" t="s">
        <v>445</v>
      </c>
    </row>
    <row r="158" spans="1:10" x14ac:dyDescent="0.25">
      <c r="A158" s="2" t="s">
        <v>6</v>
      </c>
      <c r="B158" s="2" t="s">
        <v>42</v>
      </c>
      <c r="C158" s="2" t="s">
        <v>449</v>
      </c>
      <c r="D158" s="3">
        <v>1222.96659302136</v>
      </c>
      <c r="E158" s="3">
        <v>2067.99782298932</v>
      </c>
      <c r="F158" s="3">
        <v>2088.8216830603901</v>
      </c>
      <c r="G158" s="3">
        <v>1.0069575431648199</v>
      </c>
      <c r="H158" s="3">
        <v>70.799570076556506</v>
      </c>
      <c r="I158" s="2" t="s">
        <v>457</v>
      </c>
      <c r="J158" s="2" t="s">
        <v>458</v>
      </c>
    </row>
    <row r="159" spans="1:10" x14ac:dyDescent="0.25">
      <c r="A159" s="2" t="s">
        <v>6</v>
      </c>
      <c r="B159" s="2" t="s">
        <v>42</v>
      </c>
      <c r="C159" s="2" t="s">
        <v>463</v>
      </c>
      <c r="D159" s="3">
        <v>1549.4998070945601</v>
      </c>
      <c r="E159" s="3">
        <v>2505.47939908644</v>
      </c>
      <c r="F159" s="3">
        <v>2565.0914537854501</v>
      </c>
      <c r="G159" s="3">
        <v>2.3792674057004901</v>
      </c>
      <c r="H159" s="3">
        <v>65.543192844612193</v>
      </c>
      <c r="I159" s="2" t="s">
        <v>471</v>
      </c>
      <c r="J159" s="2" t="s">
        <v>472</v>
      </c>
    </row>
    <row r="160" spans="1:10" x14ac:dyDescent="0.25">
      <c r="A160" s="2" t="s">
        <v>6</v>
      </c>
      <c r="B160" s="2" t="s">
        <v>42</v>
      </c>
      <c r="C160" s="2" t="s">
        <v>486</v>
      </c>
      <c r="D160" s="3"/>
      <c r="E160" s="3">
        <v>2072.0011794684701</v>
      </c>
      <c r="F160" s="3">
        <v>2089.7943657252299</v>
      </c>
      <c r="G160" s="3">
        <v>0.85874402162845698</v>
      </c>
      <c r="H160" s="3"/>
      <c r="I160" s="2" t="s">
        <v>489</v>
      </c>
      <c r="J160" s="2" t="s">
        <v>490</v>
      </c>
    </row>
    <row r="161" spans="1:10" x14ac:dyDescent="0.25">
      <c r="A161" s="2" t="s">
        <v>6</v>
      </c>
      <c r="B161" s="2" t="s">
        <v>42</v>
      </c>
      <c r="C161" s="2" t="s">
        <v>494</v>
      </c>
      <c r="D161" s="3"/>
      <c r="E161" s="3">
        <v>5407.6326790166704</v>
      </c>
      <c r="F161" s="3">
        <v>5458.01897597883</v>
      </c>
      <c r="G161" s="3">
        <v>0.93176256511798505</v>
      </c>
      <c r="H161" s="3"/>
      <c r="I161" s="2" t="s">
        <v>497</v>
      </c>
      <c r="J161" s="2" t="s">
        <v>498</v>
      </c>
    </row>
    <row r="162" spans="1:10" x14ac:dyDescent="0.25">
      <c r="A162" s="2" t="s">
        <v>6</v>
      </c>
      <c r="B162" s="2" t="s">
        <v>42</v>
      </c>
      <c r="C162" s="2" t="s">
        <v>507</v>
      </c>
      <c r="D162" s="3">
        <v>672.82862658415297</v>
      </c>
      <c r="E162" s="3">
        <v>852.51531154864904</v>
      </c>
      <c r="F162" s="3">
        <v>823.29869998066295</v>
      </c>
      <c r="G162" s="3">
        <v>-3.4271069589251302</v>
      </c>
      <c r="H162" s="3">
        <v>22.363803716322799</v>
      </c>
      <c r="I162" s="2" t="s">
        <v>509</v>
      </c>
      <c r="J162" s="2" t="s">
        <v>510</v>
      </c>
    </row>
    <row r="163" spans="1:10" x14ac:dyDescent="0.25">
      <c r="A163" s="2" t="s">
        <v>6</v>
      </c>
      <c r="B163" s="2" t="s">
        <v>42</v>
      </c>
      <c r="C163" s="2" t="s">
        <v>515</v>
      </c>
      <c r="D163" s="3">
        <v>2445.2624845391001</v>
      </c>
      <c r="E163" s="3">
        <v>5065.3631911843804</v>
      </c>
      <c r="F163" s="3">
        <v>5103.9420286918903</v>
      </c>
      <c r="G163" s="3">
        <v>0.76162036267523403</v>
      </c>
      <c r="H163" s="3">
        <v>108.727777118533</v>
      </c>
      <c r="I163" s="2" t="s">
        <v>521</v>
      </c>
      <c r="J163" s="2" t="s">
        <v>523</v>
      </c>
    </row>
    <row r="164" spans="1:10" x14ac:dyDescent="0.25">
      <c r="A164" s="2" t="s">
        <v>6</v>
      </c>
      <c r="B164" s="2" t="s">
        <v>42</v>
      </c>
      <c r="C164" s="2" t="s">
        <v>528</v>
      </c>
      <c r="D164" s="3">
        <v>635.99951919482805</v>
      </c>
      <c r="E164" s="3">
        <v>928.00162815407703</v>
      </c>
      <c r="F164" s="3">
        <v>931.03473383633604</v>
      </c>
      <c r="G164" s="3">
        <v>0.32684271128839598</v>
      </c>
      <c r="H164" s="3">
        <v>46.389219761521403</v>
      </c>
      <c r="I164" s="2" t="s">
        <v>536</v>
      </c>
      <c r="J164" s="2" t="s">
        <v>537</v>
      </c>
    </row>
    <row r="165" spans="1:10" x14ac:dyDescent="0.25">
      <c r="A165" s="2" t="s">
        <v>6</v>
      </c>
      <c r="B165" s="2" t="s">
        <v>42</v>
      </c>
      <c r="C165" s="2" t="s">
        <v>542</v>
      </c>
      <c r="D165" s="3"/>
      <c r="E165" s="3">
        <v>837.23255124624598</v>
      </c>
      <c r="F165" s="3">
        <v>827.31484440540498</v>
      </c>
      <c r="G165" s="3">
        <v>-1.18458208846251</v>
      </c>
      <c r="H165" s="3"/>
      <c r="I165" s="2" t="s">
        <v>549</v>
      </c>
      <c r="J165" s="2" t="s">
        <v>550</v>
      </c>
    </row>
    <row r="166" spans="1:10" x14ac:dyDescent="0.25">
      <c r="A166" s="2" t="s">
        <v>6</v>
      </c>
      <c r="B166" s="2" t="s">
        <v>42</v>
      </c>
      <c r="C166" s="2" t="s">
        <v>555</v>
      </c>
      <c r="D166" s="3">
        <v>2883.0737845792401</v>
      </c>
      <c r="E166" s="3">
        <v>5467.23134462281</v>
      </c>
      <c r="F166" s="3">
        <v>5564.28907556592</v>
      </c>
      <c r="G166" s="3">
        <v>1.7752629224034699</v>
      </c>
      <c r="H166" s="3">
        <v>92.998497136207703</v>
      </c>
      <c r="I166" s="2" t="s">
        <v>561</v>
      </c>
      <c r="J166" s="2" t="s">
        <v>563</v>
      </c>
    </row>
    <row r="167" spans="1:10" x14ac:dyDescent="0.25">
      <c r="A167" s="2" t="s">
        <v>6</v>
      </c>
      <c r="B167" s="2" t="s">
        <v>42</v>
      </c>
      <c r="C167" s="2" t="s">
        <v>573</v>
      </c>
      <c r="D167" s="3">
        <v>937.84840734474005</v>
      </c>
      <c r="E167" s="3">
        <v>1081.43913597703</v>
      </c>
      <c r="F167" s="3">
        <v>1111.1395879256399</v>
      </c>
      <c r="G167" s="3">
        <v>2.7463822013231902</v>
      </c>
      <c r="H167" s="3">
        <v>18.477525709248599</v>
      </c>
      <c r="I167" s="2" t="s">
        <v>576</v>
      </c>
      <c r="J167" s="2" t="s">
        <v>577</v>
      </c>
    </row>
    <row r="168" spans="1:10" x14ac:dyDescent="0.25">
      <c r="A168" s="2" t="s">
        <v>6</v>
      </c>
      <c r="B168" s="2" t="s">
        <v>42</v>
      </c>
      <c r="C168" s="2" t="s">
        <v>582</v>
      </c>
      <c r="D168" s="3">
        <v>1878.8122969993999</v>
      </c>
      <c r="E168" s="3">
        <v>2975.9619234909901</v>
      </c>
      <c r="F168" s="3">
        <v>3090.5103853288301</v>
      </c>
      <c r="G168" s="3">
        <v>3.8491239062449201</v>
      </c>
      <c r="H168" s="3">
        <v>64.492769728226904</v>
      </c>
      <c r="I168" s="2" t="s">
        <v>588</v>
      </c>
      <c r="J168" s="2" t="s">
        <v>195</v>
      </c>
    </row>
    <row r="169" spans="1:10" x14ac:dyDescent="0.25">
      <c r="A169" s="2" t="s">
        <v>6</v>
      </c>
      <c r="B169" s="2" t="s">
        <v>42</v>
      </c>
      <c r="C169" s="2" t="s">
        <v>593</v>
      </c>
      <c r="D169" s="3"/>
      <c r="E169" s="3">
        <v>1850.8432699560799</v>
      </c>
      <c r="F169" s="3">
        <v>1926.20411932915</v>
      </c>
      <c r="G169" s="3">
        <v>4.0717034551962703</v>
      </c>
      <c r="H169" s="3"/>
      <c r="I169" s="2" t="s">
        <v>596</v>
      </c>
      <c r="J169" s="2" t="s">
        <v>597</v>
      </c>
    </row>
    <row r="170" spans="1:10" x14ac:dyDescent="0.25">
      <c r="A170" s="2" t="s">
        <v>6</v>
      </c>
      <c r="B170" s="2" t="s">
        <v>42</v>
      </c>
      <c r="C170" s="2" t="s">
        <v>602</v>
      </c>
      <c r="D170" s="3">
        <v>2277.5858108989501</v>
      </c>
      <c r="E170" s="3">
        <v>3847.3656922479099</v>
      </c>
      <c r="F170" s="3">
        <v>3890.8029976448402</v>
      </c>
      <c r="G170" s="3">
        <v>1.1290142105402099</v>
      </c>
      <c r="H170" s="3">
        <v>70.830138606683704</v>
      </c>
      <c r="I170" s="2" t="s">
        <v>610</v>
      </c>
      <c r="J170" s="2" t="s">
        <v>611</v>
      </c>
    </row>
    <row r="171" spans="1:10" x14ac:dyDescent="0.25">
      <c r="A171" s="2" t="s">
        <v>6</v>
      </c>
      <c r="B171" s="2" t="s">
        <v>42</v>
      </c>
      <c r="C171" s="2" t="s">
        <v>616</v>
      </c>
      <c r="D171" s="3">
        <v>1009.55598963637</v>
      </c>
      <c r="E171" s="3">
        <v>1991.3299394697301</v>
      </c>
      <c r="F171" s="3">
        <v>2022.0329125304399</v>
      </c>
      <c r="G171" s="3">
        <v>1.5418325437762499</v>
      </c>
      <c r="H171" s="3">
        <v>100.289328505569</v>
      </c>
      <c r="I171" s="2" t="s">
        <v>624</v>
      </c>
      <c r="J171" s="2" t="s">
        <v>625</v>
      </c>
    </row>
    <row r="172" spans="1:10" x14ac:dyDescent="0.25">
      <c r="A172" s="2" t="s">
        <v>7</v>
      </c>
      <c r="B172" s="2" t="s">
        <v>46</v>
      </c>
      <c r="C172" s="2" t="s">
        <v>41</v>
      </c>
      <c r="D172" s="3">
        <v>147.92333733834499</v>
      </c>
      <c r="E172" s="3">
        <v>251.94051654054101</v>
      </c>
      <c r="F172" s="3">
        <v>261.18234628675702</v>
      </c>
      <c r="G172" s="3">
        <v>3.6682586322827899</v>
      </c>
      <c r="H172" s="3">
        <v>76.566017902472794</v>
      </c>
      <c r="I172" s="2" t="s">
        <v>43</v>
      </c>
      <c r="J172" s="2" t="s">
        <v>44</v>
      </c>
    </row>
    <row r="173" spans="1:10" x14ac:dyDescent="0.25">
      <c r="A173" s="2" t="s">
        <v>7</v>
      </c>
      <c r="B173" s="2" t="s">
        <v>46</v>
      </c>
      <c r="C173" s="2" t="s">
        <v>50</v>
      </c>
      <c r="D173" s="3"/>
      <c r="E173" s="3">
        <v>5976.1158515450497</v>
      </c>
      <c r="F173" s="3">
        <v>7670.5591900852696</v>
      </c>
      <c r="G173" s="3">
        <v>28.353589197942899</v>
      </c>
      <c r="H173" s="3"/>
      <c r="I173" s="2" t="s">
        <v>63</v>
      </c>
      <c r="J173" s="2" t="s">
        <v>64</v>
      </c>
    </row>
    <row r="174" spans="1:10" x14ac:dyDescent="0.25">
      <c r="A174" s="2" t="s">
        <v>7</v>
      </c>
      <c r="B174" s="2" t="s">
        <v>46</v>
      </c>
      <c r="C174" s="2" t="s">
        <v>68</v>
      </c>
      <c r="D174" s="3">
        <v>1234.4021850333099</v>
      </c>
      <c r="E174" s="3">
        <v>2465.9627716485402</v>
      </c>
      <c r="F174" s="3">
        <v>2616.2636109231798</v>
      </c>
      <c r="G174" s="3">
        <v>6.0950165591576502</v>
      </c>
      <c r="H174" s="3">
        <v>111.945801995853</v>
      </c>
      <c r="I174" s="2" t="s">
        <v>82</v>
      </c>
      <c r="J174" s="2" t="s">
        <v>83</v>
      </c>
    </row>
    <row r="175" spans="1:10" x14ac:dyDescent="0.25">
      <c r="A175" s="2" t="s">
        <v>7</v>
      </c>
      <c r="B175" s="2" t="s">
        <v>46</v>
      </c>
      <c r="C175" s="2" t="s">
        <v>86</v>
      </c>
      <c r="D175" s="3">
        <v>1192.21581263648</v>
      </c>
      <c r="E175" s="3">
        <v>2114.3292357077398</v>
      </c>
      <c r="F175" s="3">
        <v>2215.1070570947099</v>
      </c>
      <c r="G175" s="3">
        <v>4.7664204649391397</v>
      </c>
      <c r="H175" s="3">
        <v>85.797490153749493</v>
      </c>
      <c r="I175" s="2" t="s">
        <v>97</v>
      </c>
      <c r="J175" s="2" t="s">
        <v>98</v>
      </c>
    </row>
    <row r="176" spans="1:10" x14ac:dyDescent="0.25">
      <c r="A176" s="2" t="s">
        <v>7</v>
      </c>
      <c r="B176" s="2" t="s">
        <v>46</v>
      </c>
      <c r="C176" s="2" t="s">
        <v>109</v>
      </c>
      <c r="D176" s="3">
        <v>4309.1643195464203</v>
      </c>
      <c r="E176" s="3">
        <v>6269.45881945785</v>
      </c>
      <c r="F176" s="3">
        <v>6523.5009907142503</v>
      </c>
      <c r="G176" s="3">
        <v>4.0520590145350104</v>
      </c>
      <c r="H176" s="3">
        <v>51.386684446531198</v>
      </c>
      <c r="I176" s="2" t="s">
        <v>121</v>
      </c>
      <c r="J176" s="2" t="s">
        <v>122</v>
      </c>
    </row>
    <row r="177" spans="1:10" x14ac:dyDescent="0.25">
      <c r="A177" s="2" t="s">
        <v>7</v>
      </c>
      <c r="B177" s="2" t="s">
        <v>46</v>
      </c>
      <c r="C177" s="2" t="s">
        <v>125</v>
      </c>
      <c r="D177" s="3"/>
      <c r="E177" s="3">
        <v>1633.18538583033</v>
      </c>
      <c r="F177" s="3">
        <v>1680.17469739189</v>
      </c>
      <c r="G177" s="3">
        <v>2.8771572394197</v>
      </c>
      <c r="H177" s="3"/>
      <c r="I177" s="2" t="s">
        <v>137</v>
      </c>
      <c r="J177" s="2" t="s">
        <v>136</v>
      </c>
    </row>
    <row r="178" spans="1:10" x14ac:dyDescent="0.25">
      <c r="A178" s="2" t="s">
        <v>7</v>
      </c>
      <c r="B178" s="2" t="s">
        <v>46</v>
      </c>
      <c r="C178" s="2" t="s">
        <v>138</v>
      </c>
      <c r="D178" s="3"/>
      <c r="E178" s="3">
        <v>1497.4271531464999</v>
      </c>
      <c r="F178" s="3">
        <v>1561.2438133998</v>
      </c>
      <c r="G178" s="3">
        <v>4.2617539103121604</v>
      </c>
      <c r="H178" s="3"/>
      <c r="I178" s="2" t="s">
        <v>148</v>
      </c>
      <c r="J178" s="2" t="s">
        <v>149</v>
      </c>
    </row>
    <row r="179" spans="1:10" x14ac:dyDescent="0.25">
      <c r="A179" s="2" t="s">
        <v>7</v>
      </c>
      <c r="B179" s="2" t="s">
        <v>46</v>
      </c>
      <c r="C179" s="2" t="s">
        <v>153</v>
      </c>
      <c r="D179" s="3"/>
      <c r="E179" s="3">
        <v>1838.5928269118201</v>
      </c>
      <c r="F179" s="3">
        <v>1947.04973768073</v>
      </c>
      <c r="G179" s="3">
        <v>5.8989086208432404</v>
      </c>
      <c r="H179" s="3"/>
      <c r="I179" s="2" t="s">
        <v>161</v>
      </c>
      <c r="J179" s="2" t="s">
        <v>162</v>
      </c>
    </row>
    <row r="180" spans="1:10" x14ac:dyDescent="0.25">
      <c r="A180" s="2" t="s">
        <v>7</v>
      </c>
      <c r="B180" s="2" t="s">
        <v>46</v>
      </c>
      <c r="C180" s="2" t="s">
        <v>165</v>
      </c>
      <c r="D180" s="3">
        <v>3043.4361968541102</v>
      </c>
      <c r="E180" s="3">
        <v>5284.3595413749999</v>
      </c>
      <c r="F180" s="3">
        <v>5507.1099405631503</v>
      </c>
      <c r="G180" s="3">
        <v>4.2152771295003602</v>
      </c>
      <c r="H180" s="3">
        <v>80.950398968627894</v>
      </c>
      <c r="I180" s="2" t="s">
        <v>176</v>
      </c>
      <c r="J180" s="2" t="s">
        <v>177</v>
      </c>
    </row>
    <row r="181" spans="1:10" x14ac:dyDescent="0.25">
      <c r="A181" s="2" t="s">
        <v>7</v>
      </c>
      <c r="B181" s="2" t="s">
        <v>46</v>
      </c>
      <c r="C181" s="2" t="s">
        <v>205</v>
      </c>
      <c r="D181" s="3">
        <v>2440.3538836121302</v>
      </c>
      <c r="E181" s="3">
        <v>3346.6242356636099</v>
      </c>
      <c r="F181" s="3">
        <v>3487.0587798892602</v>
      </c>
      <c r="G181" s="3">
        <v>4.1963045246935797</v>
      </c>
      <c r="H181" s="3">
        <v>42.891520910395002</v>
      </c>
      <c r="I181" s="2" t="s">
        <v>211</v>
      </c>
      <c r="J181" s="2" t="s">
        <v>214</v>
      </c>
    </row>
    <row r="182" spans="1:10" x14ac:dyDescent="0.25">
      <c r="A182" s="2" t="s">
        <v>7</v>
      </c>
      <c r="B182" s="2" t="s">
        <v>46</v>
      </c>
      <c r="C182" s="2" t="s">
        <v>216</v>
      </c>
      <c r="D182" s="3">
        <v>4564.5804396781796</v>
      </c>
      <c r="E182" s="3">
        <v>5552.7027027026998</v>
      </c>
      <c r="F182" s="3">
        <v>5675.6756756756804</v>
      </c>
      <c r="G182" s="3">
        <v>2.21465076660989</v>
      </c>
      <c r="H182" s="3">
        <v>24.341672814858601</v>
      </c>
      <c r="I182" s="2" t="s">
        <v>226</v>
      </c>
      <c r="J182" s="2" t="s">
        <v>227</v>
      </c>
    </row>
    <row r="183" spans="1:10" x14ac:dyDescent="0.25">
      <c r="A183" s="2" t="s">
        <v>7</v>
      </c>
      <c r="B183" s="2" t="s">
        <v>46</v>
      </c>
      <c r="C183" s="2" t="s">
        <v>192</v>
      </c>
      <c r="D183" s="3">
        <v>2992.3725617801902</v>
      </c>
      <c r="E183" s="3">
        <v>4394.4053790468497</v>
      </c>
      <c r="F183" s="3">
        <v>4671.3133143490404</v>
      </c>
      <c r="G183" s="3">
        <v>6.3013743935079196</v>
      </c>
      <c r="H183" s="3">
        <v>56.107343517747999</v>
      </c>
      <c r="I183" s="2" t="s">
        <v>202</v>
      </c>
      <c r="J183" s="2" t="s">
        <v>203</v>
      </c>
    </row>
    <row r="184" spans="1:10" x14ac:dyDescent="0.25">
      <c r="A184" s="2" t="s">
        <v>7</v>
      </c>
      <c r="B184" s="2" t="s">
        <v>46</v>
      </c>
      <c r="C184" s="2" t="s">
        <v>230</v>
      </c>
      <c r="D184" s="3"/>
      <c r="E184" s="3">
        <v>6440.4410828017999</v>
      </c>
      <c r="F184" s="3">
        <v>6657.0025353562396</v>
      </c>
      <c r="G184" s="3">
        <v>3.3625251713385098</v>
      </c>
      <c r="H184" s="3"/>
      <c r="I184" s="2" t="s">
        <v>233</v>
      </c>
      <c r="J184" s="2" t="s">
        <v>235</v>
      </c>
    </row>
    <row r="185" spans="1:10" x14ac:dyDescent="0.25">
      <c r="A185" s="2" t="s">
        <v>7</v>
      </c>
      <c r="B185" s="2" t="s">
        <v>46</v>
      </c>
      <c r="C185" s="2" t="s">
        <v>242</v>
      </c>
      <c r="D185" s="3"/>
      <c r="E185" s="3">
        <v>6160.0213093243201</v>
      </c>
      <c r="F185" s="3">
        <v>6493.7843284955397</v>
      </c>
      <c r="G185" s="3">
        <v>5.4182120874485502</v>
      </c>
      <c r="H185" s="3"/>
      <c r="I185" s="2" t="s">
        <v>247</v>
      </c>
      <c r="J185" s="2" t="s">
        <v>248</v>
      </c>
    </row>
    <row r="186" spans="1:10" x14ac:dyDescent="0.25">
      <c r="A186" s="2" t="s">
        <v>7</v>
      </c>
      <c r="B186" s="2" t="s">
        <v>46</v>
      </c>
      <c r="C186" s="2" t="s">
        <v>266</v>
      </c>
      <c r="D186" s="3">
        <v>749.89276917842096</v>
      </c>
      <c r="E186" s="3">
        <v>1277.24707039035</v>
      </c>
      <c r="F186" s="3">
        <v>1362.95931475153</v>
      </c>
      <c r="G186" s="3">
        <v>6.7107019736586597</v>
      </c>
      <c r="H186" s="3">
        <v>81.753894792822393</v>
      </c>
      <c r="I186" s="2" t="s">
        <v>276</v>
      </c>
      <c r="J186" s="2" t="s">
        <v>277</v>
      </c>
    </row>
    <row r="187" spans="1:10" x14ac:dyDescent="0.25">
      <c r="A187" s="2" t="s">
        <v>7</v>
      </c>
      <c r="B187" s="2" t="s">
        <v>46</v>
      </c>
      <c r="C187" s="2" t="s">
        <v>251</v>
      </c>
      <c r="D187" s="3">
        <v>804.01182109351896</v>
      </c>
      <c r="E187" s="3">
        <v>1378.1547063621399</v>
      </c>
      <c r="F187" s="3">
        <v>1456.65126496469</v>
      </c>
      <c r="G187" s="3">
        <v>5.6957726327946796</v>
      </c>
      <c r="H187" s="3">
        <v>81.172866710283998</v>
      </c>
      <c r="I187" s="2" t="s">
        <v>261</v>
      </c>
      <c r="J187" s="2" t="s">
        <v>262</v>
      </c>
    </row>
    <row r="188" spans="1:10" x14ac:dyDescent="0.25">
      <c r="A188" s="2" t="s">
        <v>7</v>
      </c>
      <c r="B188" s="2" t="s">
        <v>46</v>
      </c>
      <c r="C188" s="2" t="s">
        <v>280</v>
      </c>
      <c r="D188" s="3"/>
      <c r="E188" s="3">
        <v>4371.8969465991004</v>
      </c>
      <c r="F188" s="3">
        <v>4600.2308180510399</v>
      </c>
      <c r="G188" s="3">
        <v>5.2227642655108104</v>
      </c>
      <c r="H188" s="3"/>
      <c r="I188" s="2" t="s">
        <v>285</v>
      </c>
      <c r="J188" s="2" t="s">
        <v>286</v>
      </c>
    </row>
    <row r="189" spans="1:10" x14ac:dyDescent="0.25">
      <c r="A189" s="2" t="s">
        <v>7</v>
      </c>
      <c r="B189" s="2" t="s">
        <v>46</v>
      </c>
      <c r="C189" s="2" t="s">
        <v>289</v>
      </c>
      <c r="D189" s="3"/>
      <c r="E189" s="3">
        <v>6298.8933956085602</v>
      </c>
      <c r="F189" s="3">
        <v>6892.4622955468003</v>
      </c>
      <c r="G189" s="3">
        <v>9.4233838018605098</v>
      </c>
      <c r="H189" s="3"/>
      <c r="I189" s="2" t="s">
        <v>294</v>
      </c>
      <c r="J189" s="2" t="s">
        <v>295</v>
      </c>
    </row>
    <row r="190" spans="1:10" x14ac:dyDescent="0.25">
      <c r="A190" s="2" t="s">
        <v>7</v>
      </c>
      <c r="B190" s="2" t="s">
        <v>46</v>
      </c>
      <c r="C190" s="2" t="s">
        <v>298</v>
      </c>
      <c r="D190" s="3"/>
      <c r="E190" s="3">
        <v>3039.8294761126099</v>
      </c>
      <c r="F190" s="3">
        <v>3218.8178332615498</v>
      </c>
      <c r="G190" s="3">
        <v>5.8881051899607098</v>
      </c>
      <c r="H190" s="3"/>
      <c r="I190" s="2" t="s">
        <v>307</v>
      </c>
      <c r="J190" s="2" t="s">
        <v>308</v>
      </c>
    </row>
    <row r="191" spans="1:10" x14ac:dyDescent="0.25">
      <c r="A191" s="2" t="s">
        <v>7</v>
      </c>
      <c r="B191" s="2" t="s">
        <v>46</v>
      </c>
      <c r="C191" s="2" t="s">
        <v>311</v>
      </c>
      <c r="D191" s="3"/>
      <c r="E191" s="3">
        <v>2392.4710545135099</v>
      </c>
      <c r="F191" s="3">
        <v>2487.6765241773001</v>
      </c>
      <c r="G191" s="3">
        <v>3.9793781197132798</v>
      </c>
      <c r="H191" s="3"/>
      <c r="I191" s="2" t="s">
        <v>316</v>
      </c>
      <c r="J191" s="2" t="s">
        <v>317</v>
      </c>
    </row>
    <row r="192" spans="1:10" x14ac:dyDescent="0.25">
      <c r="A192" s="2" t="s">
        <v>7</v>
      </c>
      <c r="B192" s="2" t="s">
        <v>46</v>
      </c>
      <c r="C192" s="2" t="s">
        <v>326</v>
      </c>
      <c r="D192" s="3">
        <v>1254.45056339859</v>
      </c>
      <c r="E192" s="3">
        <v>1756.40726696976</v>
      </c>
      <c r="F192" s="3">
        <v>1881.7562755561701</v>
      </c>
      <c r="G192" s="3">
        <v>7.1366710297588503</v>
      </c>
      <c r="H192" s="3">
        <v>50.0064116084463</v>
      </c>
      <c r="I192" s="2" t="s">
        <v>336</v>
      </c>
      <c r="J192" s="2" t="s">
        <v>337</v>
      </c>
    </row>
    <row r="193" spans="1:10" x14ac:dyDescent="0.25">
      <c r="A193" s="2" t="s">
        <v>7</v>
      </c>
      <c r="B193" s="2" t="s">
        <v>46</v>
      </c>
      <c r="C193" s="2" t="s">
        <v>340</v>
      </c>
      <c r="D193" s="3"/>
      <c r="E193" s="3">
        <v>2564.95182040297</v>
      </c>
      <c r="F193" s="3">
        <v>2671.7289628642802</v>
      </c>
      <c r="G193" s="3">
        <v>4.1629297522062396</v>
      </c>
      <c r="H193" s="3"/>
      <c r="I193" s="2" t="s">
        <v>346</v>
      </c>
      <c r="J193" s="2" t="s">
        <v>348</v>
      </c>
    </row>
    <row r="194" spans="1:10" x14ac:dyDescent="0.25">
      <c r="A194" s="2" t="s">
        <v>7</v>
      </c>
      <c r="B194" s="2" t="s">
        <v>46</v>
      </c>
      <c r="C194" s="2" t="s">
        <v>351</v>
      </c>
      <c r="D194" s="3">
        <v>2972.1141005129698</v>
      </c>
      <c r="E194" s="3">
        <v>5233.1514442468497</v>
      </c>
      <c r="F194" s="3">
        <v>5482.6327859487901</v>
      </c>
      <c r="G194" s="3">
        <v>4.7673250881399403</v>
      </c>
      <c r="H194" s="3">
        <v>84.469121996444301</v>
      </c>
      <c r="I194" s="2" t="s">
        <v>361</v>
      </c>
      <c r="J194" s="2" t="s">
        <v>362</v>
      </c>
    </row>
    <row r="195" spans="1:10" x14ac:dyDescent="0.25">
      <c r="A195" s="2" t="s">
        <v>7</v>
      </c>
      <c r="B195" s="2" t="s">
        <v>46</v>
      </c>
      <c r="C195" s="2" t="s">
        <v>365</v>
      </c>
      <c r="D195" s="3">
        <v>757.85748328601801</v>
      </c>
      <c r="E195" s="3">
        <v>1169.3210112602201</v>
      </c>
      <c r="F195" s="3">
        <v>1278.7595198008501</v>
      </c>
      <c r="G195" s="3">
        <v>9.3591500953778208</v>
      </c>
      <c r="H195" s="3">
        <v>68.733508344634402</v>
      </c>
      <c r="I195" s="2" t="s">
        <v>375</v>
      </c>
      <c r="J195" s="2" t="s">
        <v>376</v>
      </c>
    </row>
    <row r="196" spans="1:10" x14ac:dyDescent="0.25">
      <c r="A196" s="2" t="s">
        <v>7</v>
      </c>
      <c r="B196" s="2" t="s">
        <v>46</v>
      </c>
      <c r="C196" s="2" t="s">
        <v>399</v>
      </c>
      <c r="D196" s="3">
        <v>938.86671936884602</v>
      </c>
      <c r="E196" s="3">
        <v>1372.0419025966901</v>
      </c>
      <c r="F196" s="3">
        <v>1434.8498267248599</v>
      </c>
      <c r="G196" s="3">
        <v>4.5776972269802298</v>
      </c>
      <c r="H196" s="3">
        <v>52.827850548312298</v>
      </c>
      <c r="I196" s="2" t="s">
        <v>405</v>
      </c>
      <c r="J196" s="2" t="s">
        <v>406</v>
      </c>
    </row>
    <row r="197" spans="1:10" x14ac:dyDescent="0.25">
      <c r="A197" s="2" t="s">
        <v>7</v>
      </c>
      <c r="B197" s="2" t="s">
        <v>46</v>
      </c>
      <c r="C197" s="2" t="s">
        <v>409</v>
      </c>
      <c r="D197" s="3">
        <v>1565.9009523673201</v>
      </c>
      <c r="E197" s="3">
        <v>2384.1511140866301</v>
      </c>
      <c r="F197" s="3">
        <v>2511.7729143043798</v>
      </c>
      <c r="G197" s="3">
        <v>5.35292412732176</v>
      </c>
      <c r="H197" s="3">
        <v>60.404328926877703</v>
      </c>
      <c r="I197" s="2" t="s">
        <v>417</v>
      </c>
      <c r="J197" s="2" t="s">
        <v>418</v>
      </c>
    </row>
    <row r="198" spans="1:10" x14ac:dyDescent="0.25">
      <c r="A198" s="2" t="s">
        <v>7</v>
      </c>
      <c r="B198" s="2" t="s">
        <v>46</v>
      </c>
      <c r="C198" s="2" t="s">
        <v>421</v>
      </c>
      <c r="D198" s="3">
        <v>947.34904446451196</v>
      </c>
      <c r="E198" s="3">
        <v>1914.4990136459401</v>
      </c>
      <c r="F198" s="3">
        <v>2002.5841717773301</v>
      </c>
      <c r="G198" s="3">
        <v>4.60095082335084</v>
      </c>
      <c r="H198" s="3">
        <v>111.38820833553299</v>
      </c>
      <c r="I198" s="2" t="s">
        <v>433</v>
      </c>
      <c r="J198" s="2" t="s">
        <v>434</v>
      </c>
    </row>
    <row r="199" spans="1:10" x14ac:dyDescent="0.25">
      <c r="A199" s="2" t="s">
        <v>7</v>
      </c>
      <c r="B199" s="2" t="s">
        <v>46</v>
      </c>
      <c r="C199" s="2" t="s">
        <v>436</v>
      </c>
      <c r="D199" s="3">
        <v>933.15698908316801</v>
      </c>
      <c r="E199" s="3">
        <v>2127.6712684252502</v>
      </c>
      <c r="F199" s="3">
        <v>2214.5652797776602</v>
      </c>
      <c r="G199" s="3">
        <v>4.0839960872681198</v>
      </c>
      <c r="H199" s="3">
        <v>137.31969065071101</v>
      </c>
      <c r="I199" s="2" t="s">
        <v>446</v>
      </c>
      <c r="J199" s="2" t="s">
        <v>447</v>
      </c>
    </row>
    <row r="200" spans="1:10" x14ac:dyDescent="0.25">
      <c r="A200" s="2" t="s">
        <v>7</v>
      </c>
      <c r="B200" s="2" t="s">
        <v>46</v>
      </c>
      <c r="C200" s="2" t="s">
        <v>449</v>
      </c>
      <c r="D200" s="3">
        <v>1340.7437666679</v>
      </c>
      <c r="E200" s="3">
        <v>2088.8216830603901</v>
      </c>
      <c r="F200" s="3">
        <v>2242.63821870628</v>
      </c>
      <c r="G200" s="3">
        <v>7.3637944728977001</v>
      </c>
      <c r="H200" s="3">
        <v>67.268218914030598</v>
      </c>
      <c r="I200" s="2" t="s">
        <v>459</v>
      </c>
      <c r="J200" s="2" t="s">
        <v>460</v>
      </c>
    </row>
    <row r="201" spans="1:10" x14ac:dyDescent="0.25">
      <c r="A201" s="2" t="s">
        <v>7</v>
      </c>
      <c r="B201" s="2" t="s">
        <v>46</v>
      </c>
      <c r="C201" s="2" t="s">
        <v>463</v>
      </c>
      <c r="D201" s="3">
        <v>1633.9359284030299</v>
      </c>
      <c r="E201" s="3">
        <v>2565.0914537854501</v>
      </c>
      <c r="F201" s="3">
        <v>2679.5060014625401</v>
      </c>
      <c r="G201" s="3">
        <v>4.4604471122556797</v>
      </c>
      <c r="H201" s="3">
        <v>63.990885743079502</v>
      </c>
      <c r="I201" s="2" t="s">
        <v>473</v>
      </c>
      <c r="J201" s="2" t="s">
        <v>474</v>
      </c>
    </row>
    <row r="202" spans="1:10" x14ac:dyDescent="0.25">
      <c r="A202" s="2" t="s">
        <v>7</v>
      </c>
      <c r="B202" s="2" t="s">
        <v>46</v>
      </c>
      <c r="C202" s="2" t="s">
        <v>486</v>
      </c>
      <c r="D202" s="3"/>
      <c r="E202" s="3">
        <v>2089.7943657252299</v>
      </c>
      <c r="F202" s="3">
        <v>2173.1178654254099</v>
      </c>
      <c r="G202" s="3">
        <v>3.9871626159382498</v>
      </c>
      <c r="H202" s="3"/>
      <c r="I202" s="2" t="s">
        <v>491</v>
      </c>
      <c r="J202" s="2" t="s">
        <v>490</v>
      </c>
    </row>
    <row r="203" spans="1:10" x14ac:dyDescent="0.25">
      <c r="A203" s="2" t="s">
        <v>7</v>
      </c>
      <c r="B203" s="2" t="s">
        <v>46</v>
      </c>
      <c r="C203" s="2" t="s">
        <v>494</v>
      </c>
      <c r="D203" s="3"/>
      <c r="E203" s="3">
        <v>5458.01897597883</v>
      </c>
      <c r="F203" s="3">
        <v>5752.7551214759096</v>
      </c>
      <c r="G203" s="3">
        <v>5.4000571781490097</v>
      </c>
      <c r="H203" s="3"/>
      <c r="I203" s="2" t="s">
        <v>499</v>
      </c>
      <c r="J203" s="2" t="s">
        <v>500</v>
      </c>
    </row>
    <row r="204" spans="1:10" x14ac:dyDescent="0.25">
      <c r="A204" s="2" t="s">
        <v>7</v>
      </c>
      <c r="B204" s="2" t="s">
        <v>46</v>
      </c>
      <c r="C204" s="2" t="s">
        <v>507</v>
      </c>
      <c r="D204" s="3">
        <v>689.46756451810097</v>
      </c>
      <c r="E204" s="3">
        <v>823.29869998066295</v>
      </c>
      <c r="F204" s="3">
        <v>909.88487977933903</v>
      </c>
      <c r="G204" s="3">
        <v>10.516982451291399</v>
      </c>
      <c r="H204" s="3">
        <v>31.969207342668501</v>
      </c>
      <c r="I204" s="2" t="s">
        <v>511</v>
      </c>
      <c r="J204" s="2" t="s">
        <v>512</v>
      </c>
    </row>
    <row r="205" spans="1:10" x14ac:dyDescent="0.25">
      <c r="A205" s="2" t="s">
        <v>7</v>
      </c>
      <c r="B205" s="2" t="s">
        <v>46</v>
      </c>
      <c r="C205" s="2" t="s">
        <v>515</v>
      </c>
      <c r="D205" s="3">
        <v>2728.6329831665698</v>
      </c>
      <c r="E205" s="3">
        <v>5103.9420286918903</v>
      </c>
      <c r="F205" s="3">
        <v>5459.0421429298303</v>
      </c>
      <c r="G205" s="3">
        <v>6.9573696613663101</v>
      </c>
      <c r="H205" s="3">
        <v>100.065094008892</v>
      </c>
      <c r="I205" s="2" t="s">
        <v>524</v>
      </c>
      <c r="J205" s="2" t="s">
        <v>525</v>
      </c>
    </row>
    <row r="206" spans="1:10" x14ac:dyDescent="0.25">
      <c r="A206" s="2" t="s">
        <v>7</v>
      </c>
      <c r="B206" s="2" t="s">
        <v>46</v>
      </c>
      <c r="C206" s="2" t="s">
        <v>528</v>
      </c>
      <c r="D206" s="3">
        <v>669.70890030858902</v>
      </c>
      <c r="E206" s="3">
        <v>931.03473383633604</v>
      </c>
      <c r="F206" s="3">
        <v>999.17967446513501</v>
      </c>
      <c r="G206" s="3">
        <v>7.3192694270391998</v>
      </c>
      <c r="H206" s="3">
        <v>49.196117000196899</v>
      </c>
      <c r="I206" s="2" t="s">
        <v>538</v>
      </c>
      <c r="J206" s="2" t="s">
        <v>539</v>
      </c>
    </row>
    <row r="207" spans="1:10" x14ac:dyDescent="0.25">
      <c r="A207" s="2" t="s">
        <v>7</v>
      </c>
      <c r="B207" s="2" t="s">
        <v>46</v>
      </c>
      <c r="C207" s="2" t="s">
        <v>542</v>
      </c>
      <c r="D207" s="3"/>
      <c r="E207" s="3">
        <v>827.31484440540498</v>
      </c>
      <c r="F207" s="3">
        <v>872.13527080810798</v>
      </c>
      <c r="G207" s="3">
        <v>5.4175779276528502</v>
      </c>
      <c r="H207" s="3"/>
      <c r="I207" s="2" t="s">
        <v>551</v>
      </c>
      <c r="J207" s="2" t="s">
        <v>552</v>
      </c>
    </row>
    <row r="208" spans="1:10" x14ac:dyDescent="0.25">
      <c r="A208" s="2" t="s">
        <v>7</v>
      </c>
      <c r="B208" s="2" t="s">
        <v>46</v>
      </c>
      <c r="C208" s="2" t="s">
        <v>555</v>
      </c>
      <c r="D208" s="3">
        <v>3124.0443485127098</v>
      </c>
      <c r="E208" s="3">
        <v>5564.28907556592</v>
      </c>
      <c r="F208" s="3">
        <v>5860.0071237336497</v>
      </c>
      <c r="G208" s="3">
        <v>5.3145701841103898</v>
      </c>
      <c r="H208" s="3">
        <v>87.577590776631396</v>
      </c>
      <c r="I208" s="2" t="s">
        <v>564</v>
      </c>
      <c r="J208" s="2" t="s">
        <v>565</v>
      </c>
    </row>
    <row r="209" spans="1:10" x14ac:dyDescent="0.25">
      <c r="A209" s="2" t="s">
        <v>7</v>
      </c>
      <c r="B209" s="2" t="s">
        <v>46</v>
      </c>
      <c r="C209" s="2" t="s">
        <v>573</v>
      </c>
      <c r="D209" s="3">
        <v>959.68352354376702</v>
      </c>
      <c r="E209" s="3">
        <v>1111.1395879256399</v>
      </c>
      <c r="F209" s="3">
        <v>1157.34571869108</v>
      </c>
      <c r="G209" s="3">
        <v>4.1584451915439198</v>
      </c>
      <c r="H209" s="3">
        <v>20.596601931584299</v>
      </c>
      <c r="I209" s="2" t="s">
        <v>578</v>
      </c>
      <c r="J209" s="2" t="s">
        <v>579</v>
      </c>
    </row>
    <row r="210" spans="1:10" x14ac:dyDescent="0.25">
      <c r="A210" s="2" t="s">
        <v>7</v>
      </c>
      <c r="B210" s="2" t="s">
        <v>46</v>
      </c>
      <c r="C210" s="2" t="s">
        <v>582</v>
      </c>
      <c r="D210" s="3">
        <v>2003.6460001141299</v>
      </c>
      <c r="E210" s="3">
        <v>3090.5103853288301</v>
      </c>
      <c r="F210" s="3">
        <v>3337.0082982445902</v>
      </c>
      <c r="G210" s="3">
        <v>7.9759613197202803</v>
      </c>
      <c r="H210" s="3">
        <v>66.546800086168901</v>
      </c>
      <c r="I210" s="2" t="s">
        <v>589</v>
      </c>
      <c r="J210" s="2" t="s">
        <v>590</v>
      </c>
    </row>
    <row r="211" spans="1:10" x14ac:dyDescent="0.25">
      <c r="A211" s="2" t="s">
        <v>7</v>
      </c>
      <c r="B211" s="2" t="s">
        <v>46</v>
      </c>
      <c r="C211" s="2" t="s">
        <v>593</v>
      </c>
      <c r="D211" s="3"/>
      <c r="E211" s="3">
        <v>1926.20411932915</v>
      </c>
      <c r="F211" s="3">
        <v>2040.81873295581</v>
      </c>
      <c r="G211" s="3">
        <v>5.9502839017174303</v>
      </c>
      <c r="H211" s="3"/>
      <c r="I211" s="2" t="s">
        <v>598</v>
      </c>
      <c r="J211" s="2" t="s">
        <v>599</v>
      </c>
    </row>
    <row r="212" spans="1:10" x14ac:dyDescent="0.25">
      <c r="A212" s="2" t="s">
        <v>7</v>
      </c>
      <c r="B212" s="2" t="s">
        <v>46</v>
      </c>
      <c r="C212" s="2" t="s">
        <v>602</v>
      </c>
      <c r="D212" s="3">
        <v>2477.6305328736098</v>
      </c>
      <c r="E212" s="3">
        <v>3890.8029976448402</v>
      </c>
      <c r="F212" s="3">
        <v>4114.2425360704501</v>
      </c>
      <c r="G212" s="3">
        <v>5.7427615471884801</v>
      </c>
      <c r="H212" s="3">
        <v>66.055530939015895</v>
      </c>
      <c r="I212" s="2" t="s">
        <v>612</v>
      </c>
      <c r="J212" s="2" t="s">
        <v>613</v>
      </c>
    </row>
    <row r="213" spans="1:10" x14ac:dyDescent="0.25">
      <c r="A213" s="2" t="s">
        <v>7</v>
      </c>
      <c r="B213" s="2" t="s">
        <v>46</v>
      </c>
      <c r="C213" s="2" t="s">
        <v>616</v>
      </c>
      <c r="D213" s="3">
        <v>1068.77645806394</v>
      </c>
      <c r="E213" s="3">
        <v>2022.0329125304399</v>
      </c>
      <c r="F213" s="3">
        <v>2141.1300356787601</v>
      </c>
      <c r="G213" s="3">
        <v>5.8899695652963304</v>
      </c>
      <c r="H213" s="3">
        <v>100.33469295883999</v>
      </c>
      <c r="I213" s="2" t="s">
        <v>626</v>
      </c>
      <c r="J213" s="2" t="s">
        <v>627</v>
      </c>
    </row>
    <row r="214" spans="1:10" x14ac:dyDescent="0.25">
      <c r="A214" s="2" t="s">
        <v>8</v>
      </c>
      <c r="B214" s="2" t="s">
        <v>49</v>
      </c>
      <c r="C214" s="2" t="s">
        <v>41</v>
      </c>
      <c r="D214" s="3">
        <v>150.848909933926</v>
      </c>
      <c r="E214" s="3">
        <v>261.18234628675702</v>
      </c>
      <c r="F214" s="3">
        <v>259.31615245998501</v>
      </c>
      <c r="G214" s="3">
        <v>-0.71451759787888602</v>
      </c>
      <c r="H214" s="3">
        <v>71.9045583912865</v>
      </c>
      <c r="I214" s="2" t="s">
        <v>47</v>
      </c>
      <c r="J214" s="2" t="s">
        <v>48</v>
      </c>
    </row>
    <row r="215" spans="1:10" x14ac:dyDescent="0.25">
      <c r="A215" s="2" t="s">
        <v>8</v>
      </c>
      <c r="B215" s="2" t="s">
        <v>49</v>
      </c>
      <c r="C215" s="2" t="s">
        <v>50</v>
      </c>
      <c r="D215" s="3"/>
      <c r="E215" s="3">
        <v>7670.5591900852696</v>
      </c>
      <c r="F215" s="3">
        <v>6150.1780720720699</v>
      </c>
      <c r="G215" s="3">
        <v>-19.820994536857199</v>
      </c>
      <c r="H215" s="3"/>
      <c r="I215" s="2" t="s">
        <v>65</v>
      </c>
      <c r="J215" s="2" t="s">
        <v>66</v>
      </c>
    </row>
    <row r="216" spans="1:10" x14ac:dyDescent="0.25">
      <c r="A216" s="2" t="s">
        <v>8</v>
      </c>
      <c r="B216" s="2" t="s">
        <v>49</v>
      </c>
      <c r="C216" s="2" t="s">
        <v>68</v>
      </c>
      <c r="D216" s="3">
        <v>1387.9030212503001</v>
      </c>
      <c r="E216" s="3">
        <v>2616.2636109231798</v>
      </c>
      <c r="F216" s="3">
        <v>2429.3885720073299</v>
      </c>
      <c r="G216" s="3">
        <v>-7.1428214701160799</v>
      </c>
      <c r="H216" s="3">
        <v>75.040225059730801</v>
      </c>
      <c r="I216" s="2" t="s">
        <v>84</v>
      </c>
      <c r="J216" s="2" t="s">
        <v>85</v>
      </c>
    </row>
    <row r="217" spans="1:10" x14ac:dyDescent="0.25">
      <c r="A217" s="2" t="s">
        <v>8</v>
      </c>
      <c r="B217" s="2" t="s">
        <v>49</v>
      </c>
      <c r="C217" s="2" t="s">
        <v>86</v>
      </c>
      <c r="D217" s="3">
        <v>1313.47897460487</v>
      </c>
      <c r="E217" s="3">
        <v>2215.1070570947099</v>
      </c>
      <c r="F217" s="3">
        <v>2097.3099314450801</v>
      </c>
      <c r="G217" s="3">
        <v>-5.3178976281233803</v>
      </c>
      <c r="H217" s="3">
        <v>59.675942439505199</v>
      </c>
      <c r="I217" s="2" t="s">
        <v>99</v>
      </c>
      <c r="J217" s="2" t="s">
        <v>100</v>
      </c>
    </row>
    <row r="218" spans="1:10" x14ac:dyDescent="0.25">
      <c r="A218" s="2" t="s">
        <v>8</v>
      </c>
      <c r="B218" s="2" t="s">
        <v>49</v>
      </c>
      <c r="C218" s="2" t="s">
        <v>109</v>
      </c>
      <c r="D218" s="3">
        <v>4711.6469536859704</v>
      </c>
      <c r="E218" s="3">
        <v>6523.5009907142503</v>
      </c>
      <c r="F218" s="3">
        <v>6544.5368584491798</v>
      </c>
      <c r="G218" s="3">
        <v>0.322462857978698</v>
      </c>
      <c r="H218" s="3">
        <v>38.901257305140703</v>
      </c>
      <c r="I218" s="2" t="s">
        <v>123</v>
      </c>
      <c r="J218" s="2" t="s">
        <v>124</v>
      </c>
    </row>
    <row r="219" spans="1:10" x14ac:dyDescent="0.25">
      <c r="A219" s="2" t="s">
        <v>8</v>
      </c>
      <c r="B219" s="2" t="s">
        <v>49</v>
      </c>
      <c r="C219" s="2" t="s">
        <v>125</v>
      </c>
      <c r="D219" s="3"/>
      <c r="E219" s="3">
        <v>1680.17469739189</v>
      </c>
      <c r="F219" s="3">
        <v>1688.39984573376</v>
      </c>
      <c r="G219" s="3">
        <v>0.48954125750331101</v>
      </c>
      <c r="H219" s="3"/>
      <c r="I219" s="2" t="s">
        <v>137</v>
      </c>
      <c r="J219" s="2" t="s">
        <v>136</v>
      </c>
    </row>
    <row r="220" spans="1:10" x14ac:dyDescent="0.25">
      <c r="A220" s="2" t="s">
        <v>8</v>
      </c>
      <c r="B220" s="2" t="s">
        <v>49</v>
      </c>
      <c r="C220" s="2" t="s">
        <v>138</v>
      </c>
      <c r="D220" s="3"/>
      <c r="E220" s="3">
        <v>1561.2438133998</v>
      </c>
      <c r="F220" s="3">
        <v>1547.5179018418</v>
      </c>
      <c r="G220" s="3">
        <v>-0.87916515282223795</v>
      </c>
      <c r="H220" s="3"/>
      <c r="I220" s="2" t="s">
        <v>150</v>
      </c>
      <c r="J220" s="2" t="s">
        <v>151</v>
      </c>
    </row>
    <row r="221" spans="1:10" x14ac:dyDescent="0.25">
      <c r="A221" s="2" t="s">
        <v>8</v>
      </c>
      <c r="B221" s="2" t="s">
        <v>49</v>
      </c>
      <c r="C221" s="2" t="s">
        <v>153</v>
      </c>
      <c r="D221" s="3"/>
      <c r="E221" s="3">
        <v>1947.04973768073</v>
      </c>
      <c r="F221" s="3">
        <v>1931.31785704035</v>
      </c>
      <c r="G221" s="3">
        <v>-0.80798555557795004</v>
      </c>
      <c r="H221" s="3"/>
      <c r="I221" s="2" t="s">
        <v>163</v>
      </c>
      <c r="J221" s="2" t="s">
        <v>164</v>
      </c>
    </row>
    <row r="222" spans="1:10" x14ac:dyDescent="0.25">
      <c r="A222" s="2" t="s">
        <v>8</v>
      </c>
      <c r="B222" s="2" t="s">
        <v>49</v>
      </c>
      <c r="C222" s="2" t="s">
        <v>165</v>
      </c>
      <c r="D222" s="3">
        <v>3140.5331120351598</v>
      </c>
      <c r="E222" s="3">
        <v>5507.1099405631503</v>
      </c>
      <c r="F222" s="3">
        <v>5572.49342258056</v>
      </c>
      <c r="G222" s="3">
        <v>1.1872557970164701</v>
      </c>
      <c r="H222" s="3">
        <v>77.437817841360598</v>
      </c>
      <c r="I222" s="2" t="s">
        <v>176</v>
      </c>
      <c r="J222" s="2" t="s">
        <v>178</v>
      </c>
    </row>
    <row r="223" spans="1:10" x14ac:dyDescent="0.25">
      <c r="A223" s="2" t="s">
        <v>8</v>
      </c>
      <c r="B223" s="2" t="s">
        <v>49</v>
      </c>
      <c r="C223" s="2" t="s">
        <v>205</v>
      </c>
      <c r="D223" s="3">
        <v>2660.8970751670599</v>
      </c>
      <c r="E223" s="3">
        <v>3487.0587798892602</v>
      </c>
      <c r="F223" s="3">
        <v>3502.69704413096</v>
      </c>
      <c r="G223" s="3">
        <v>0.44846574803643802</v>
      </c>
      <c r="H223" s="3">
        <v>31.635946268648599</v>
      </c>
      <c r="I223" s="2" t="s">
        <v>211</v>
      </c>
      <c r="J223" s="2" t="s">
        <v>215</v>
      </c>
    </row>
    <row r="224" spans="1:10" x14ac:dyDescent="0.25">
      <c r="A224" s="2" t="s">
        <v>8</v>
      </c>
      <c r="B224" s="2" t="s">
        <v>49</v>
      </c>
      <c r="C224" s="2" t="s">
        <v>216</v>
      </c>
      <c r="D224" s="3">
        <v>4829.1307681304197</v>
      </c>
      <c r="E224" s="3">
        <v>5675.6756756756804</v>
      </c>
      <c r="F224" s="3">
        <v>5740.1492438265304</v>
      </c>
      <c r="G224" s="3">
        <v>1.1359628674198701</v>
      </c>
      <c r="H224" s="3">
        <v>18.8650612178144</v>
      </c>
      <c r="I224" s="2" t="s">
        <v>228</v>
      </c>
      <c r="J224" s="2" t="s">
        <v>229</v>
      </c>
    </row>
    <row r="225" spans="1:10" x14ac:dyDescent="0.25">
      <c r="A225" s="2" t="s">
        <v>8</v>
      </c>
      <c r="B225" s="2" t="s">
        <v>49</v>
      </c>
      <c r="C225" s="2" t="s">
        <v>192</v>
      </c>
      <c r="D225" s="3">
        <v>3330.3014098633998</v>
      </c>
      <c r="E225" s="3">
        <v>4671.3133143490404</v>
      </c>
      <c r="F225" s="3">
        <v>4771.9236733382304</v>
      </c>
      <c r="G225" s="3">
        <v>2.1537917116401202</v>
      </c>
      <c r="H225" s="3">
        <v>43.288041713136003</v>
      </c>
      <c r="I225" s="2" t="s">
        <v>202</v>
      </c>
      <c r="J225" s="2" t="s">
        <v>204</v>
      </c>
    </row>
    <row r="226" spans="1:10" x14ac:dyDescent="0.25">
      <c r="A226" s="2" t="s">
        <v>8</v>
      </c>
      <c r="B226" s="2" t="s">
        <v>49</v>
      </c>
      <c r="C226" s="2" t="s">
        <v>230</v>
      </c>
      <c r="D226" s="3"/>
      <c r="E226" s="3">
        <v>6657.0025353562396</v>
      </c>
      <c r="F226" s="3">
        <v>6655.6615288069197</v>
      </c>
      <c r="G226" s="3">
        <v>-2.0144299813636399E-2</v>
      </c>
      <c r="H226" s="3"/>
      <c r="I226" s="2" t="s">
        <v>233</v>
      </c>
      <c r="J226" s="2" t="s">
        <v>236</v>
      </c>
    </row>
    <row r="227" spans="1:10" x14ac:dyDescent="0.25">
      <c r="A227" s="2" t="s">
        <v>8</v>
      </c>
      <c r="B227" s="2" t="s">
        <v>49</v>
      </c>
      <c r="C227" s="2" t="s">
        <v>242</v>
      </c>
      <c r="D227" s="3"/>
      <c r="E227" s="3">
        <v>6493.7843284955397</v>
      </c>
      <c r="F227" s="3">
        <v>6657.7427764140602</v>
      </c>
      <c r="G227" s="3">
        <v>2.52485206813915</v>
      </c>
      <c r="H227" s="3"/>
      <c r="I227" s="2" t="s">
        <v>249</v>
      </c>
      <c r="J227" s="2" t="s">
        <v>250</v>
      </c>
    </row>
    <row r="228" spans="1:10" x14ac:dyDescent="0.25">
      <c r="A228" s="2" t="s">
        <v>8</v>
      </c>
      <c r="B228" s="2" t="s">
        <v>49</v>
      </c>
      <c r="C228" s="2" t="s">
        <v>266</v>
      </c>
      <c r="D228" s="3">
        <v>851.80859011491202</v>
      </c>
      <c r="E228" s="3">
        <v>1362.95931475153</v>
      </c>
      <c r="F228" s="3">
        <v>1345.0978505149001</v>
      </c>
      <c r="G228" s="3">
        <v>-1.3104913729495</v>
      </c>
      <c r="H228" s="3">
        <v>57.910810729607803</v>
      </c>
      <c r="I228" s="2" t="s">
        <v>278</v>
      </c>
      <c r="J228" s="2" t="s">
        <v>279</v>
      </c>
    </row>
    <row r="229" spans="1:10" x14ac:dyDescent="0.25">
      <c r="A229" s="2" t="s">
        <v>8</v>
      </c>
      <c r="B229" s="2" t="s">
        <v>49</v>
      </c>
      <c r="C229" s="2" t="s">
        <v>251</v>
      </c>
      <c r="D229" s="3">
        <v>909.76592236758302</v>
      </c>
      <c r="E229" s="3">
        <v>1456.65126496469</v>
      </c>
      <c r="F229" s="3">
        <v>1422.33984770236</v>
      </c>
      <c r="G229" s="3">
        <v>-2.3554997745570501</v>
      </c>
      <c r="H229" s="3">
        <v>56.3412975505668</v>
      </c>
      <c r="I229" s="2" t="s">
        <v>264</v>
      </c>
      <c r="J229" s="2" t="s">
        <v>265</v>
      </c>
    </row>
    <row r="230" spans="1:10" x14ac:dyDescent="0.25">
      <c r="A230" s="2" t="s">
        <v>8</v>
      </c>
      <c r="B230" s="2" t="s">
        <v>49</v>
      </c>
      <c r="C230" s="2" t="s">
        <v>280</v>
      </c>
      <c r="D230" s="3"/>
      <c r="E230" s="3">
        <v>4600.2308180510399</v>
      </c>
      <c r="F230" s="3">
        <v>4970.65884257568</v>
      </c>
      <c r="G230" s="3">
        <v>8.05237909087319</v>
      </c>
      <c r="H230" s="3"/>
      <c r="I230" s="2" t="s">
        <v>287</v>
      </c>
      <c r="J230" s="2" t="s">
        <v>288</v>
      </c>
    </row>
    <row r="231" spans="1:10" x14ac:dyDescent="0.25">
      <c r="A231" s="2" t="s">
        <v>8</v>
      </c>
      <c r="B231" s="2" t="s">
        <v>49</v>
      </c>
      <c r="C231" s="2" t="s">
        <v>289</v>
      </c>
      <c r="D231" s="3"/>
      <c r="E231" s="3">
        <v>6892.4622955468003</v>
      </c>
      <c r="F231" s="3">
        <v>6708.4527520461797</v>
      </c>
      <c r="G231" s="3">
        <v>-2.6697214378598502</v>
      </c>
      <c r="H231" s="3"/>
      <c r="I231" s="2" t="s">
        <v>296</v>
      </c>
      <c r="J231" s="2" t="s">
        <v>297</v>
      </c>
    </row>
    <row r="232" spans="1:10" x14ac:dyDescent="0.25">
      <c r="A232" s="2" t="s">
        <v>8</v>
      </c>
      <c r="B232" s="2" t="s">
        <v>49</v>
      </c>
      <c r="C232" s="2" t="s">
        <v>298</v>
      </c>
      <c r="D232" s="3"/>
      <c r="E232" s="3">
        <v>3218.8178332615498</v>
      </c>
      <c r="F232" s="3">
        <v>3250.3191343826402</v>
      </c>
      <c r="G232" s="3">
        <v>0.97866057518288296</v>
      </c>
      <c r="H232" s="3"/>
      <c r="I232" s="2" t="s">
        <v>309</v>
      </c>
      <c r="J232" s="2" t="s">
        <v>310</v>
      </c>
    </row>
    <row r="233" spans="1:10" x14ac:dyDescent="0.25">
      <c r="A233" s="2" t="s">
        <v>8</v>
      </c>
      <c r="B233" s="2" t="s">
        <v>49</v>
      </c>
      <c r="C233" s="2" t="s">
        <v>311</v>
      </c>
      <c r="D233" s="3"/>
      <c r="E233" s="3">
        <v>2487.6765241773001</v>
      </c>
      <c r="F233" s="3">
        <v>2545.7164478089499</v>
      </c>
      <c r="G233" s="3">
        <v>2.3330976944780799</v>
      </c>
      <c r="H233" s="3"/>
      <c r="I233" s="2" t="s">
        <v>319</v>
      </c>
      <c r="J233" s="2" t="s">
        <v>320</v>
      </c>
    </row>
    <row r="234" spans="1:10" x14ac:dyDescent="0.25">
      <c r="A234" s="2" t="s">
        <v>8</v>
      </c>
      <c r="B234" s="2" t="s">
        <v>49</v>
      </c>
      <c r="C234" s="2" t="s">
        <v>326</v>
      </c>
      <c r="D234" s="3">
        <v>1413.5653635420099</v>
      </c>
      <c r="E234" s="3">
        <v>1881.7562755561701</v>
      </c>
      <c r="F234" s="3">
        <v>1948.6077123661701</v>
      </c>
      <c r="G234" s="3">
        <v>3.5526086814959998</v>
      </c>
      <c r="H234" s="3">
        <v>37.850555950486097</v>
      </c>
      <c r="I234" s="2" t="s">
        <v>338</v>
      </c>
      <c r="J234" s="2" t="s">
        <v>339</v>
      </c>
    </row>
    <row r="235" spans="1:10" x14ac:dyDescent="0.25">
      <c r="A235" s="2" t="s">
        <v>8</v>
      </c>
      <c r="B235" s="2" t="s">
        <v>49</v>
      </c>
      <c r="C235" s="2" t="s">
        <v>340</v>
      </c>
      <c r="D235" s="3"/>
      <c r="E235" s="3">
        <v>2671.7289628642802</v>
      </c>
      <c r="F235" s="3">
        <v>2517.8856093511199</v>
      </c>
      <c r="G235" s="3">
        <v>-5.7581946242118898</v>
      </c>
      <c r="H235" s="3"/>
      <c r="I235" s="2" t="s">
        <v>349</v>
      </c>
      <c r="J235" s="2" t="s">
        <v>350</v>
      </c>
    </row>
    <row r="236" spans="1:10" x14ac:dyDescent="0.25">
      <c r="A236" s="2" t="s">
        <v>8</v>
      </c>
      <c r="B236" s="2" t="s">
        <v>49</v>
      </c>
      <c r="C236" s="2" t="s">
        <v>351</v>
      </c>
      <c r="D236" s="3">
        <v>3224.9851671523202</v>
      </c>
      <c r="E236" s="3">
        <v>5482.6327859487901</v>
      </c>
      <c r="F236" s="3">
        <v>5417.3963473999602</v>
      </c>
      <c r="G236" s="3">
        <v>-1.18987430119376</v>
      </c>
      <c r="H236" s="3">
        <v>67.982054695263798</v>
      </c>
      <c r="I236" s="2" t="s">
        <v>363</v>
      </c>
      <c r="J236" s="2" t="s">
        <v>364</v>
      </c>
    </row>
    <row r="237" spans="1:10" x14ac:dyDescent="0.25">
      <c r="A237" s="2" t="s">
        <v>8</v>
      </c>
      <c r="B237" s="2" t="s">
        <v>49</v>
      </c>
      <c r="C237" s="2" t="s">
        <v>365</v>
      </c>
      <c r="D237" s="3">
        <v>797.60928651013103</v>
      </c>
      <c r="E237" s="3">
        <v>1278.7595198008501</v>
      </c>
      <c r="F237" s="3">
        <v>1239.609660498</v>
      </c>
      <c r="G237" s="3">
        <v>-3.0615497829451801</v>
      </c>
      <c r="H237" s="3">
        <v>55.415650427266002</v>
      </c>
      <c r="I237" s="2" t="s">
        <v>377</v>
      </c>
      <c r="J237" s="2" t="s">
        <v>378</v>
      </c>
    </row>
    <row r="238" spans="1:10" x14ac:dyDescent="0.25">
      <c r="A238" s="2" t="s">
        <v>8</v>
      </c>
      <c r="B238" s="2" t="s">
        <v>49</v>
      </c>
      <c r="C238" s="2" t="s">
        <v>399</v>
      </c>
      <c r="D238" s="3">
        <v>1018.83318551401</v>
      </c>
      <c r="E238" s="3">
        <v>1434.8498267248599</v>
      </c>
      <c r="F238" s="3">
        <v>1503.5644918098701</v>
      </c>
      <c r="G238" s="3">
        <v>4.7889795716014998</v>
      </c>
      <c r="H238" s="3">
        <v>47.577102236939602</v>
      </c>
      <c r="I238" s="2" t="s">
        <v>407</v>
      </c>
      <c r="J238" s="2" t="s">
        <v>408</v>
      </c>
    </row>
    <row r="239" spans="1:10" x14ac:dyDescent="0.25">
      <c r="A239" s="2" t="s">
        <v>8</v>
      </c>
      <c r="B239" s="2" t="s">
        <v>49</v>
      </c>
      <c r="C239" s="2" t="s">
        <v>409</v>
      </c>
      <c r="D239" s="3">
        <v>1634.0540287219001</v>
      </c>
      <c r="E239" s="3">
        <v>2511.7729143043798</v>
      </c>
      <c r="F239" s="3">
        <v>2516.3571664481101</v>
      </c>
      <c r="G239" s="3">
        <v>0.18251061302656399</v>
      </c>
      <c r="H239" s="3">
        <v>53.994734703865099</v>
      </c>
      <c r="I239" s="2" t="s">
        <v>419</v>
      </c>
      <c r="J239" s="2" t="s">
        <v>420</v>
      </c>
    </row>
    <row r="240" spans="1:10" x14ac:dyDescent="0.25">
      <c r="A240" s="2" t="s">
        <v>8</v>
      </c>
      <c r="B240" s="2" t="s">
        <v>49</v>
      </c>
      <c r="C240" s="2" t="s">
        <v>421</v>
      </c>
      <c r="D240" s="3">
        <v>1009.05227176578</v>
      </c>
      <c r="E240" s="3">
        <v>2002.5841717773301</v>
      </c>
      <c r="F240" s="3">
        <v>2057.3966196227698</v>
      </c>
      <c r="G240" s="3">
        <v>2.7370858422791202</v>
      </c>
      <c r="H240" s="3">
        <v>103.89395843908601</v>
      </c>
      <c r="I240" s="2" t="s">
        <v>433</v>
      </c>
      <c r="J240" s="2" t="s">
        <v>435</v>
      </c>
    </row>
    <row r="241" spans="1:10" x14ac:dyDescent="0.25">
      <c r="A241" s="2" t="s">
        <v>8</v>
      </c>
      <c r="B241" s="2" t="s">
        <v>49</v>
      </c>
      <c r="C241" s="2" t="s">
        <v>436</v>
      </c>
      <c r="D241" s="3">
        <v>1000.40770252811</v>
      </c>
      <c r="E241" s="3">
        <v>2214.5652797776602</v>
      </c>
      <c r="F241" s="3">
        <v>2231.8082619367001</v>
      </c>
      <c r="G241" s="3">
        <v>0.77861701872131595</v>
      </c>
      <c r="H241" s="3">
        <v>123.08987188890499</v>
      </c>
      <c r="I241" s="2" t="s">
        <v>446</v>
      </c>
      <c r="J241" s="2" t="s">
        <v>448</v>
      </c>
    </row>
    <row r="242" spans="1:10" x14ac:dyDescent="0.25">
      <c r="A242" s="2" t="s">
        <v>8</v>
      </c>
      <c r="B242" s="2" t="s">
        <v>49</v>
      </c>
      <c r="C242" s="2" t="s">
        <v>449</v>
      </c>
      <c r="D242" s="3">
        <v>1399.3408001160401</v>
      </c>
      <c r="E242" s="3">
        <v>2242.63821870628</v>
      </c>
      <c r="F242" s="3">
        <v>2144.0498599702601</v>
      </c>
      <c r="G242" s="3">
        <v>-4.3960884066668298</v>
      </c>
      <c r="H242" s="3">
        <v>53.218562611227803</v>
      </c>
      <c r="I242" s="2" t="s">
        <v>461</v>
      </c>
      <c r="J242" s="2" t="s">
        <v>462</v>
      </c>
    </row>
    <row r="243" spans="1:10" x14ac:dyDescent="0.25">
      <c r="A243" s="2" t="s">
        <v>8</v>
      </c>
      <c r="B243" s="2" t="s">
        <v>49</v>
      </c>
      <c r="C243" s="2" t="s">
        <v>463</v>
      </c>
      <c r="D243" s="3">
        <v>1771.5635205881199</v>
      </c>
      <c r="E243" s="3">
        <v>2679.5060014625401</v>
      </c>
      <c r="F243" s="3">
        <v>2574.11484187629</v>
      </c>
      <c r="G243" s="3">
        <v>-3.9332309585694398</v>
      </c>
      <c r="H243" s="3">
        <v>45.3018653839598</v>
      </c>
      <c r="I243" s="2" t="s">
        <v>475</v>
      </c>
      <c r="J243" s="2" t="s">
        <v>212</v>
      </c>
    </row>
    <row r="244" spans="1:10" x14ac:dyDescent="0.25">
      <c r="A244" s="2" t="s">
        <v>8</v>
      </c>
      <c r="B244" s="2" t="s">
        <v>49</v>
      </c>
      <c r="C244" s="2" t="s">
        <v>486</v>
      </c>
      <c r="D244" s="3"/>
      <c r="E244" s="3">
        <v>2173.1178654254099</v>
      </c>
      <c r="F244" s="3">
        <v>2257.19816002057</v>
      </c>
      <c r="G244" s="3">
        <v>3.8691088013627599</v>
      </c>
      <c r="H244" s="3"/>
      <c r="I244" s="2" t="s">
        <v>492</v>
      </c>
      <c r="J244" s="2" t="s">
        <v>493</v>
      </c>
    </row>
    <row r="245" spans="1:10" x14ac:dyDescent="0.25">
      <c r="A245" s="2" t="s">
        <v>8</v>
      </c>
      <c r="B245" s="2" t="s">
        <v>49</v>
      </c>
      <c r="C245" s="2" t="s">
        <v>494</v>
      </c>
      <c r="D245" s="3"/>
      <c r="E245" s="3">
        <v>5752.7551214759096</v>
      </c>
      <c r="F245" s="3">
        <v>5920.8372821896501</v>
      </c>
      <c r="G245" s="3">
        <v>2.9217680426942398</v>
      </c>
      <c r="H245" s="3"/>
      <c r="I245" s="2" t="s">
        <v>499</v>
      </c>
      <c r="J245" s="2" t="s">
        <v>501</v>
      </c>
    </row>
    <row r="246" spans="1:10" x14ac:dyDescent="0.25">
      <c r="A246" s="2" t="s">
        <v>8</v>
      </c>
      <c r="B246" s="2" t="s">
        <v>49</v>
      </c>
      <c r="C246" s="2" t="s">
        <v>507</v>
      </c>
      <c r="D246" s="3">
        <v>807.34893293995503</v>
      </c>
      <c r="E246" s="3">
        <v>909.88487977933903</v>
      </c>
      <c r="F246" s="3">
        <v>938.42378465177205</v>
      </c>
      <c r="G246" s="3">
        <v>3.1365401829024901</v>
      </c>
      <c r="H246" s="3">
        <v>16.235217062157901</v>
      </c>
      <c r="I246" s="2" t="s">
        <v>513</v>
      </c>
      <c r="J246" s="2" t="s">
        <v>514</v>
      </c>
    </row>
    <row r="247" spans="1:10" x14ac:dyDescent="0.25">
      <c r="A247" s="2" t="s">
        <v>8</v>
      </c>
      <c r="B247" s="2" t="s">
        <v>49</v>
      </c>
      <c r="C247" s="2" t="s">
        <v>515</v>
      </c>
      <c r="D247" s="3">
        <v>2828.8747467656299</v>
      </c>
      <c r="E247" s="3">
        <v>5459.0421429298303</v>
      </c>
      <c r="F247" s="3">
        <v>5489.2820246853198</v>
      </c>
      <c r="G247" s="3">
        <v>0.55394116703537799</v>
      </c>
      <c r="H247" s="3">
        <v>94.044717991188705</v>
      </c>
      <c r="I247" s="2" t="s">
        <v>526</v>
      </c>
      <c r="J247" s="2" t="s">
        <v>527</v>
      </c>
    </row>
    <row r="248" spans="1:10" x14ac:dyDescent="0.25">
      <c r="A248" s="2" t="s">
        <v>8</v>
      </c>
      <c r="B248" s="2" t="s">
        <v>49</v>
      </c>
      <c r="C248" s="2" t="s">
        <v>528</v>
      </c>
      <c r="D248" s="3">
        <v>725.73968747105596</v>
      </c>
      <c r="E248" s="3">
        <v>999.17967446513501</v>
      </c>
      <c r="F248" s="3">
        <v>994.19173616473597</v>
      </c>
      <c r="G248" s="3">
        <v>-0.49920333928622102</v>
      </c>
      <c r="H248" s="3">
        <v>36.990129288524798</v>
      </c>
      <c r="I248" s="2" t="s">
        <v>540</v>
      </c>
      <c r="J248" s="2" t="s">
        <v>541</v>
      </c>
    </row>
    <row r="249" spans="1:10" x14ac:dyDescent="0.25">
      <c r="A249" s="2" t="s">
        <v>8</v>
      </c>
      <c r="B249" s="2" t="s">
        <v>49</v>
      </c>
      <c r="C249" s="2" t="s">
        <v>542</v>
      </c>
      <c r="D249" s="3"/>
      <c r="E249" s="3">
        <v>872.13527080810798</v>
      </c>
      <c r="F249" s="3">
        <v>888.91036973350299</v>
      </c>
      <c r="G249" s="3">
        <v>1.9234514973636001</v>
      </c>
      <c r="H249" s="3"/>
      <c r="I249" s="2" t="s">
        <v>553</v>
      </c>
      <c r="J249" s="2" t="s">
        <v>554</v>
      </c>
    </row>
    <row r="250" spans="1:10" x14ac:dyDescent="0.25">
      <c r="A250" s="2" t="s">
        <v>8</v>
      </c>
      <c r="B250" s="2" t="s">
        <v>49</v>
      </c>
      <c r="C250" s="2" t="s">
        <v>555</v>
      </c>
      <c r="D250" s="3">
        <v>3395.0493196911202</v>
      </c>
      <c r="E250" s="3">
        <v>5860.0071237336497</v>
      </c>
      <c r="F250" s="3">
        <v>5939.2872886936802</v>
      </c>
      <c r="G250" s="3">
        <v>1.3529021942469599</v>
      </c>
      <c r="H250" s="3">
        <v>74.939646804130206</v>
      </c>
      <c r="I250" s="2" t="s">
        <v>564</v>
      </c>
      <c r="J250" s="2" t="s">
        <v>566</v>
      </c>
    </row>
    <row r="251" spans="1:10" x14ac:dyDescent="0.25">
      <c r="A251" s="2" t="s">
        <v>8</v>
      </c>
      <c r="B251" s="2" t="s">
        <v>49</v>
      </c>
      <c r="C251" s="2" t="s">
        <v>573</v>
      </c>
      <c r="D251" s="3">
        <v>1123.41349822947</v>
      </c>
      <c r="E251" s="3">
        <v>1157.34571869108</v>
      </c>
      <c r="F251" s="3">
        <v>1283.5712136417701</v>
      </c>
      <c r="G251" s="3">
        <v>10.906464067922901</v>
      </c>
      <c r="H251" s="3">
        <v>14.256346008367499</v>
      </c>
      <c r="I251" s="2" t="s">
        <v>580</v>
      </c>
      <c r="J251" s="2" t="s">
        <v>581</v>
      </c>
    </row>
    <row r="252" spans="1:10" x14ac:dyDescent="0.25">
      <c r="A252" s="2" t="s">
        <v>8</v>
      </c>
      <c r="B252" s="2" t="s">
        <v>49</v>
      </c>
      <c r="C252" s="2" t="s">
        <v>582</v>
      </c>
      <c r="D252" s="3">
        <v>2078.20848341791</v>
      </c>
      <c r="E252" s="3">
        <v>3337.0082982445902</v>
      </c>
      <c r="F252" s="3">
        <v>3374.8094323292298</v>
      </c>
      <c r="G252" s="3">
        <v>1.1327851388479</v>
      </c>
      <c r="H252" s="3">
        <v>62.390321243366301</v>
      </c>
      <c r="I252" s="2" t="s">
        <v>591</v>
      </c>
      <c r="J252" s="2" t="s">
        <v>592</v>
      </c>
    </row>
    <row r="253" spans="1:10" x14ac:dyDescent="0.25">
      <c r="A253" s="2" t="s">
        <v>8</v>
      </c>
      <c r="B253" s="2" t="s">
        <v>49</v>
      </c>
      <c r="C253" s="2" t="s">
        <v>593</v>
      </c>
      <c r="D253" s="3"/>
      <c r="E253" s="3">
        <v>2040.81873295581</v>
      </c>
      <c r="F253" s="3">
        <v>2057.3488049013399</v>
      </c>
      <c r="G253" s="3">
        <v>0.80997257025290403</v>
      </c>
      <c r="H253" s="3"/>
      <c r="I253" s="2" t="s">
        <v>600</v>
      </c>
      <c r="J253" s="2" t="s">
        <v>601</v>
      </c>
    </row>
    <row r="254" spans="1:10" x14ac:dyDescent="0.25">
      <c r="A254" s="2" t="s">
        <v>8</v>
      </c>
      <c r="B254" s="2" t="s">
        <v>49</v>
      </c>
      <c r="C254" s="2" t="s">
        <v>602</v>
      </c>
      <c r="D254" s="3">
        <v>2573.24932210314</v>
      </c>
      <c r="E254" s="3">
        <v>4114.2425360704501</v>
      </c>
      <c r="F254" s="3">
        <v>4166.5681996130497</v>
      </c>
      <c r="G254" s="3">
        <v>1.2718176695675201</v>
      </c>
      <c r="H254" s="3">
        <v>61.918558136748203</v>
      </c>
      <c r="I254" s="2" t="s">
        <v>614</v>
      </c>
      <c r="J254" s="2" t="s">
        <v>615</v>
      </c>
    </row>
    <row r="255" spans="1:10" x14ac:dyDescent="0.25">
      <c r="A255" s="2" t="s">
        <v>8</v>
      </c>
      <c r="B255" s="2" t="s">
        <v>49</v>
      </c>
      <c r="C255" s="2" t="s">
        <v>616</v>
      </c>
      <c r="D255" s="3">
        <v>1130.3692191499499</v>
      </c>
      <c r="E255" s="3">
        <v>2141.1300356787601</v>
      </c>
      <c r="F255" s="3">
        <v>2240.0837774352499</v>
      </c>
      <c r="G255" s="3">
        <v>4.6215661873674296</v>
      </c>
      <c r="H255" s="3">
        <v>98.172750945910096</v>
      </c>
      <c r="I255" s="2" t="s">
        <v>628</v>
      </c>
      <c r="J255" s="2" t="s">
        <v>629</v>
      </c>
    </row>
  </sheetData>
  <autoFilter ref="A1:J255" xr:uid="{00000000-0009-0000-0000-000007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Me</vt:lpstr>
      <vt:lpstr>Dashboard</vt:lpstr>
      <vt:lpstr>PIVOT_TABLE</vt:lpstr>
      <vt:lpstr>Standardized Data</vt:lpstr>
      <vt:lpstr>Item Summary</vt:lpstr>
      <vt:lpstr>State Summary</vt:lpstr>
      <vt:lpstr>Top Movers</vt:lpstr>
      <vt:lpstr>Mapping Notes</vt:lpstr>
      <vt:lpstr>Raw Data (Original)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IBRAHIM KHALIL UMAR</cp:lastModifiedBy>
  <cp:revision>1</cp:revision>
  <dcterms:created xsi:type="dcterms:W3CDTF">2026-07-26T21:18:45Z</dcterms:created>
  <dcterms:modified xsi:type="dcterms:W3CDTF">2026-08-08T22:43:25Z</dcterms:modified>
  <dc:language>en-US</dc:language>
</cp:coreProperties>
</file>